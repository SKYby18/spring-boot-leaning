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连续劳务计算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4" fontId="0" fillId="0" borderId="0" pivotButton="0" quotePrefix="0" xfId="0"/>
    <xf numFmtId="4" fontId="0" fillId="0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/>
    </xf>
    <xf numFmtId="10" fontId="0" fillId="0" borderId="1" applyAlignment="1" pivotButton="0" quotePrefix="0" xfId="0">
      <alignment horizontal="general" vertical="center"/>
    </xf>
    <xf numFmtId="4" fontId="0" fillId="0" borderId="1" applyAlignment="1" pivotButton="0" quotePrefix="0" xfId="0">
      <alignment horizontal="general" vertical="center"/>
    </xf>
    <xf numFmtId="10" fontId="0" fillId="0" borderId="1" applyAlignment="1" pivotButton="0" quotePrefix="0" xfId="0">
      <alignment vertical="center"/>
    </xf>
    <xf numFmtId="0" fontId="0" fillId="0" borderId="2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" customWidth="1" min="3" max="3"/>
    <col width="32" customWidth="1" min="4" max="4"/>
    <col width="20" customWidth="1" min="5" max="5"/>
    <col width="14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10" customWidth="1" min="12" max="12"/>
    <col hidden="1" width="14" customWidth="1" min="13" max="13"/>
    <col hidden="1" width="14" customWidth="1" min="14" max="14"/>
    <col hidden="1" width="12" customWidth="1" min="15" max="15"/>
    <col hidden="1" width="12" customWidth="1" min="16" max="16"/>
    <col hidden="1" width="12" customWidth="1" min="17" max="17"/>
    <col hidden="1" width="12" customWidth="1" min="18" max="18"/>
    <col hidden="1" width="14" customWidth="1" min="19" max="19"/>
    <col hidden="1" width="14" customWidth="1" min="20" max="20"/>
    <col hidden="1" width="12" customWidth="1" min="21" max="21"/>
    <col hidden="1" width="12" customWidth="1" min="22" max="22"/>
    <col hidden="1" width="14" customWidth="1" min="23" max="23"/>
  </cols>
  <sheetData>
    <row r="1">
      <c r="A1" s="1" t="inlineStr">
        <is>
          <t>连续劳务报酬（按上传规则）计算器</t>
        </is>
      </c>
    </row>
    <row r="2">
      <c r="A2" s="2" t="inlineStr">
        <is>
          <t>A区：填“含税金额” -&gt; 自动计算“实发金额”</t>
        </is>
      </c>
      <c r="D2" s="2" t="inlineStr">
        <is>
          <t>B区：填“实发金额” -&gt; 自动反算“含税金额”</t>
        </is>
      </c>
    </row>
    <row r="4">
      <c r="A4" s="3" t="inlineStr">
        <is>
          <t>含税金额（输入）</t>
        </is>
      </c>
      <c r="B4" s="4" t="n">
        <v>51797.23</v>
      </c>
      <c r="D4" s="3" t="inlineStr">
        <is>
          <t>实发金额（输入）</t>
        </is>
      </c>
      <c r="E4" s="4">
        <f>B21</f>
        <v/>
      </c>
      <c r="F4" s="5" t="n"/>
      <c r="G4" s="5" t="n"/>
      <c r="H4" s="5" t="n"/>
      <c r="I4" s="5" t="n"/>
      <c r="M4" s="5" t="n"/>
      <c r="N4" s="5" t="n"/>
      <c r="O4" s="5" t="n"/>
      <c r="P4" s="5" t="n"/>
      <c r="Q4" s="5" t="n"/>
      <c r="R4" s="5" t="n"/>
      <c r="T4" s="5" t="n"/>
      <c r="U4" s="5" t="n"/>
    </row>
    <row r="5">
      <c r="A5" s="3" t="inlineStr">
        <is>
          <t>连续取得月份数（输入）</t>
        </is>
      </c>
      <c r="B5" s="4" t="n">
        <v>1</v>
      </c>
      <c r="D5" s="3" t="inlineStr">
        <is>
          <t>连续取得月份数（输入）</t>
        </is>
      </c>
      <c r="E5" s="4">
        <f>B5</f>
        <v/>
      </c>
      <c r="F5" s="5" t="n"/>
      <c r="G5" s="5" t="n"/>
      <c r="H5" s="5" t="n"/>
      <c r="I5" s="5" t="n"/>
      <c r="M5" s="5" t="n"/>
      <c r="N5" s="5" t="n"/>
      <c r="O5" s="5" t="n"/>
      <c r="P5" s="5" t="n"/>
      <c r="Q5" s="5" t="n"/>
      <c r="R5" s="5" t="n"/>
      <c r="T5" s="5" t="n"/>
      <c r="U5" s="5" t="n"/>
    </row>
    <row r="6">
      <c r="A6" s="3" t="inlineStr">
        <is>
          <t>累计已预扣个税（输入）</t>
        </is>
      </c>
      <c r="B6" s="4" t="n">
        <v>0</v>
      </c>
      <c r="D6" s="3" t="inlineStr">
        <is>
          <t>累计已预扣个税（输入）</t>
        </is>
      </c>
      <c r="E6" s="4">
        <f>B6</f>
        <v/>
      </c>
      <c r="F6" s="5" t="n"/>
      <c r="G6" s="5" t="n"/>
      <c r="H6" s="5" t="n"/>
      <c r="I6" s="5" t="n"/>
      <c r="M6" s="5" t="n"/>
      <c r="N6" s="5" t="n"/>
      <c r="O6" s="5" t="n"/>
      <c r="P6" s="5" t="n"/>
      <c r="Q6" s="5" t="n"/>
      <c r="R6" s="5" t="n"/>
      <c r="T6" s="5" t="n"/>
      <c r="U6" s="5" t="n"/>
    </row>
    <row r="7">
      <c r="A7" s="3" t="inlineStr">
        <is>
          <t>不含税金额</t>
        </is>
      </c>
      <c r="B7" s="6">
        <f>IF(B4="","",B4/(1+IF(B4&lt;100000,0,1%)))</f>
        <v/>
      </c>
      <c r="D7" s="3" t="inlineStr">
        <is>
          <t>反算含税金额（结果）</t>
        </is>
      </c>
      <c r="E7" s="7">
        <f>IFERROR(INDEX($G$13:$G$28,MATCH(TRUE,$J$13:$J$28,0)),"无匹配")</f>
        <v/>
      </c>
      <c r="F7" s="5" t="n"/>
      <c r="G7" s="5" t="n"/>
      <c r="H7" s="5" t="n"/>
      <c r="I7" s="5" t="n"/>
      <c r="M7" s="5" t="n"/>
      <c r="N7" s="5" t="n"/>
      <c r="O7" s="5" t="n"/>
      <c r="P7" s="5" t="n"/>
      <c r="Q7" s="5" t="n"/>
      <c r="R7" s="5" t="n"/>
      <c r="T7" s="5" t="n"/>
      <c r="U7" s="5" t="n"/>
    </row>
    <row r="8">
      <c r="A8" s="3" t="inlineStr">
        <is>
          <t>增值税</t>
        </is>
      </c>
      <c r="B8" s="6">
        <f>IF(B4="","",IF(B7&lt;100000,0,B7*1%))</f>
        <v/>
      </c>
      <c r="D8" s="3" t="inlineStr">
        <is>
          <t>回算实发（校验）</t>
        </is>
      </c>
      <c r="E8" s="6">
        <f>IFERROR(INDEX($H$13:$H$28,MATCH(TRUE,$J$13:$J$28,0)),"")</f>
        <v/>
      </c>
      <c r="F8" s="5" t="n"/>
      <c r="G8" s="5" t="n"/>
      <c r="H8" s="5" t="n"/>
      <c r="I8" s="5" t="n"/>
      <c r="M8" s="5" t="n"/>
      <c r="N8" s="5" t="n"/>
      <c r="O8" s="5" t="n"/>
      <c r="P8" s="5" t="n"/>
      <c r="Q8" s="5" t="n"/>
      <c r="R8" s="5" t="n"/>
      <c r="T8" s="5" t="n"/>
      <c r="U8" s="5" t="n"/>
    </row>
    <row r="9">
      <c r="A9" s="3" t="inlineStr">
        <is>
          <t>城建税</t>
        </is>
      </c>
      <c r="B9" s="6">
        <f>IF(B4="","",IF(B7&lt;100000,0,B8*2.5%))</f>
        <v/>
      </c>
      <c r="D9" s="3" t="inlineStr">
        <is>
          <t>校验误差（应接近0）</t>
        </is>
      </c>
      <c r="E9" s="6">
        <f>IF(E8="","",E8-E4)</f>
        <v/>
      </c>
      <c r="F9" s="5" t="n"/>
      <c r="G9" s="5" t="n"/>
      <c r="H9" s="5" t="n"/>
      <c r="I9" s="5" t="n"/>
      <c r="M9" s="5" t="n"/>
      <c r="N9" s="5" t="n"/>
      <c r="O9" s="5" t="n"/>
      <c r="P9" s="5" t="n"/>
      <c r="Q9" s="5" t="n"/>
      <c r="R9" s="5" t="n"/>
      <c r="T9" s="5" t="n"/>
      <c r="U9" s="5" t="n"/>
    </row>
    <row r="10">
      <c r="A10" s="3" t="inlineStr">
        <is>
          <t>教育附加税</t>
        </is>
      </c>
      <c r="B10" s="6">
        <f>IF(B4="","",IF(B7&lt;100000,0,B8*1.5%))</f>
        <v/>
      </c>
      <c r="E10" s="5" t="n"/>
      <c r="F10" s="5" t="n"/>
      <c r="G10" s="5" t="n"/>
      <c r="H10" s="5" t="n"/>
      <c r="I10" s="5" t="n"/>
      <c r="M10" s="5" t="n"/>
      <c r="N10" s="5" t="n"/>
      <c r="O10" s="5" t="n"/>
      <c r="P10" s="5" t="n"/>
      <c r="Q10" s="5" t="n"/>
      <c r="R10" s="5" t="n"/>
      <c r="T10" s="5" t="n"/>
      <c r="U10" s="5" t="n"/>
    </row>
    <row r="11">
      <c r="A11" s="3" t="inlineStr">
        <is>
          <t>地方教育附加税</t>
        </is>
      </c>
      <c r="B11" s="6">
        <f>IF(B4="","",IF(B7&lt;100000,0,B8*1%))</f>
        <v/>
      </c>
      <c r="E11" s="5" t="n"/>
      <c r="F11" s="5" t="n"/>
      <c r="G11" s="5" t="n"/>
      <c r="H11" s="5" t="n"/>
      <c r="I11" s="5" t="n"/>
      <c r="M11" s="5" t="n"/>
      <c r="N11" s="5" t="n"/>
      <c r="O11" s="5" t="n"/>
      <c r="P11" s="5" t="n"/>
      <c r="Q11" s="5" t="n"/>
      <c r="R11" s="5" t="n"/>
      <c r="T11" s="5" t="n"/>
      <c r="U11" s="5" t="n"/>
    </row>
    <row r="12">
      <c r="A12" s="3" t="inlineStr">
        <is>
          <t>累计收入</t>
        </is>
      </c>
      <c r="B12" s="6">
        <f>IF(B4="","",B4-B8)</f>
        <v/>
      </c>
      <c r="D12" s="8" t="inlineStr">
        <is>
          <t>案例</t>
        </is>
      </c>
      <c r="E12" s="9" t="inlineStr">
        <is>
          <t>预扣率</t>
        </is>
      </c>
      <c r="F12" s="9" t="inlineStr">
        <is>
          <t>速算扣除数</t>
        </is>
      </c>
      <c r="G12" s="9" t="inlineStr">
        <is>
          <t>候选含税</t>
        </is>
      </c>
      <c r="H12" s="9" t="inlineStr">
        <is>
          <t>回算实发</t>
        </is>
      </c>
      <c r="I12" s="9" t="inlineStr">
        <is>
          <t>绝对误差</t>
        </is>
      </c>
      <c r="J12" s="8" t="inlineStr">
        <is>
          <t>有效</t>
        </is>
      </c>
      <c r="K12" s="8" t="inlineStr">
        <is>
          <t>场景</t>
        </is>
      </c>
      <c r="L12" s="8" t="inlineStr">
        <is>
          <t>PIT=0候选</t>
        </is>
      </c>
      <c r="M12" s="9" t="inlineStr">
        <is>
          <t>不含税</t>
        </is>
      </c>
      <c r="N12" s="9" t="inlineStr">
        <is>
          <t>增值税</t>
        </is>
      </c>
      <c r="O12" s="9" t="inlineStr">
        <is>
          <t>城建税</t>
        </is>
      </c>
      <c r="P12" s="9" t="inlineStr">
        <is>
          <t>教育附加</t>
        </is>
      </c>
      <c r="Q12" s="9" t="inlineStr">
        <is>
          <t>地方教育</t>
        </is>
      </c>
      <c r="R12" s="9" t="inlineStr">
        <is>
          <t>应纳所得额</t>
        </is>
      </c>
      <c r="S12" s="8" t="inlineStr">
        <is>
          <t>回算预扣率</t>
        </is>
      </c>
      <c r="T12" s="9" t="inlineStr">
        <is>
          <t>回算速扣</t>
        </is>
      </c>
      <c r="U12" s="9" t="inlineStr">
        <is>
          <t>回算个税</t>
        </is>
      </c>
      <c r="V12" s="10" t="n"/>
    </row>
    <row r="13">
      <c r="A13" s="3" t="inlineStr">
        <is>
          <t>累计费用（20%）</t>
        </is>
      </c>
      <c r="B13" s="6">
        <f>IF(B4="","",B12*20%)</f>
        <v/>
      </c>
      <c r="D13" s="11" t="inlineStr">
        <is>
          <t>无增值税 / PIT=0</t>
        </is>
      </c>
      <c r="E13" s="12" t="n">
        <v>0</v>
      </c>
      <c r="F13" s="13" t="n">
        <v>0</v>
      </c>
      <c r="G13" s="13">
        <f>IF($E$4="","",IF($L13=1,$E$4/(1-IF($K13="no_vat",0,21/2020)),($E$4-5000*$E$5*$E13-$F13-$E$6)/(1-IF($K13="no_vat",0,21/2020)-IF($K13="no_vat",0.8,1599/2020)*$E13)))</f>
        <v/>
      </c>
      <c r="H13" s="13">
        <f>IF(G13="","",G13-N13-O13-P13-Q13-U13)</f>
        <v/>
      </c>
      <c r="I13" s="13">
        <f>IF(G13="","",ABS(H13-$E$4))</f>
        <v/>
      </c>
      <c r="J13" s="11">
        <f>IF(G13="","",AND(G13&gt;0,IF($K13="no_vat",G13&lt;101000,G13&gt;=101000),I13&lt;0.05,IF($L13=1,U13=0,U13&gt;0)))</f>
        <v/>
      </c>
      <c r="K13" s="11" t="inlineStr">
        <is>
          <t>no_vat</t>
        </is>
      </c>
      <c r="L13" s="11" t="n">
        <v>1</v>
      </c>
      <c r="M13" s="13">
        <f>IF(G13="","",G13/(1+IF(G13&lt;100000,0,1%)))</f>
        <v/>
      </c>
      <c r="N13" s="13">
        <f>IF(G13="","",IF(M13&lt;100000,0,M13*1%))</f>
        <v/>
      </c>
      <c r="O13" s="13">
        <f>IF(G13="","",IF(M13&lt;100000,0,N13*2.5%))</f>
        <v/>
      </c>
      <c r="P13" s="13">
        <f>IF(G13="","",IF(M13&lt;100000,0,N13*1.5%))</f>
        <v/>
      </c>
      <c r="Q13" s="13">
        <f>IF(G13="","",IF(M13&lt;100000,0,N13*1%))</f>
        <v/>
      </c>
      <c r="R13" s="13">
        <f>IF(G13="","",(G13-N13)*80%-5000*$E$5-(O13+P13+Q13))</f>
        <v/>
      </c>
      <c r="S13" s="11">
        <f>IF(G13="","",IF(R13&lt;=36000,3%,IF(R13&lt;=144000,10%,IF(R13&lt;=300000,20%,IF(R13&lt;=420000,25%,IF(R13&lt;=660000,30%,IF(R13&lt;=960000,35%,45%)))))))</f>
        <v/>
      </c>
      <c r="T13" s="13">
        <f>IF(G13="","",IF(R13&lt;=36000,0,IF(R13&lt;=144000,2520,IF(R13&lt;=300000,16920,IF(R13&lt;=420000,31920,IF(R13&lt;=660000,52920,IF(R13&lt;=960000,85920,181920)))))))</f>
        <v/>
      </c>
      <c r="U13" s="13">
        <f>IF(G13="","",MAX(0,R13*S13-T13-$E$6))</f>
        <v/>
      </c>
      <c r="V13" s="11" t="n"/>
    </row>
    <row r="14">
      <c r="A14" s="3" t="inlineStr">
        <is>
          <t>累计减除费用（5000*月数）</t>
        </is>
      </c>
      <c r="B14" s="6">
        <f>IF(B4="","",5000*B5)</f>
        <v/>
      </c>
      <c r="D14" s="11" t="inlineStr">
        <is>
          <t>有增值税 / PIT=0</t>
        </is>
      </c>
      <c r="E14" s="12" t="n">
        <v>0</v>
      </c>
      <c r="F14" s="13" t="n">
        <v>0</v>
      </c>
      <c r="G14" s="13">
        <f>IF($E$4="","",IF($L14=1,$E$4/(1-IF($K14="no_vat",0,21/2020)),($E$4-5000*$E$5*$E14-$F14-$E$6)/(1-IF($K14="no_vat",0,21/2020)-IF($K14="no_vat",0.8,1599/2020)*$E14)))</f>
        <v/>
      </c>
      <c r="H14" s="13">
        <f>IF(G14="","",G14-N14-O14-P14-Q14-U14)</f>
        <v/>
      </c>
      <c r="I14" s="13">
        <f>IF(G14="","",ABS(H14-$E$4))</f>
        <v/>
      </c>
      <c r="J14" s="11">
        <f>IF(G14="","",AND(G14&gt;0,IF($K14="no_vat",G14&lt;101000,G14&gt;=101000),I14&lt;0.05,IF($L14=1,U14=0,U14&gt;0)))</f>
        <v/>
      </c>
      <c r="K14" s="11" t="inlineStr">
        <is>
          <t>with_vat</t>
        </is>
      </c>
      <c r="L14" s="11" t="n">
        <v>1</v>
      </c>
      <c r="M14" s="13">
        <f>IF(G14="","",G14/(1+IF(G14&lt;100000,0,1%)))</f>
        <v/>
      </c>
      <c r="N14" s="13">
        <f>IF(G14="","",IF(M14&lt;100000,0,M14*1%))</f>
        <v/>
      </c>
      <c r="O14" s="13">
        <f>IF(G14="","",IF(M14&lt;100000,0,N14*2.5%))</f>
        <v/>
      </c>
      <c r="P14" s="13">
        <f>IF(G14="","",IF(M14&lt;100000,0,N14*1.5%))</f>
        <v/>
      </c>
      <c r="Q14" s="13">
        <f>IF(G14="","",IF(M14&lt;100000,0,N14*1%))</f>
        <v/>
      </c>
      <c r="R14" s="13">
        <f>IF(G14="","",(G14-N14)*80%-5000*$E$5-(O14+P14+Q14))</f>
        <v/>
      </c>
      <c r="S14" s="11">
        <f>IF(G14="","",IF(R14&lt;=36000,3%,IF(R14&lt;=144000,10%,IF(R14&lt;=300000,20%,IF(R14&lt;=420000,25%,IF(R14&lt;=660000,30%,IF(R14&lt;=960000,35%,45%)))))))</f>
        <v/>
      </c>
      <c r="T14" s="13">
        <f>IF(G14="","",IF(R14&lt;=36000,0,IF(R14&lt;=144000,2520,IF(R14&lt;=300000,16920,IF(R14&lt;=420000,31920,IF(R14&lt;=660000,52920,IF(R14&lt;=960000,85920,181920)))))))</f>
        <v/>
      </c>
      <c r="U14" s="13">
        <f>IF(G14="","",MAX(0,R14*S14-T14-$E$6))</f>
        <v/>
      </c>
      <c r="V14" s="11" t="n"/>
    </row>
    <row r="15">
      <c r="A15" s="3" t="inlineStr">
        <is>
          <t>累计其他扣除（三项附加）</t>
        </is>
      </c>
      <c r="B15" s="6">
        <f>IF(B4="","",B9+B10+B11)</f>
        <v/>
      </c>
      <c r="D15" s="11" t="inlineStr">
        <is>
          <t>无增值税 / 档位3%</t>
        </is>
      </c>
      <c r="E15" s="12" t="n">
        <v>0.03</v>
      </c>
      <c r="F15" s="13" t="n">
        <v>0</v>
      </c>
      <c r="G15" s="13">
        <f>IF($E$4="","",IF($L15=1,$E$4/(1-IF($K15="no_vat",0,21/2020)),($E$4-5000*$E$5*$E15-$F15-$E$6)/(1-IF($K15="no_vat",0,21/2020)-IF($K15="no_vat",0.8,1599/2020)*$E15)))</f>
        <v/>
      </c>
      <c r="H15" s="13">
        <f>IF(G15="","",G15-N15-O15-P15-Q15-U15)</f>
        <v/>
      </c>
      <c r="I15" s="13">
        <f>IF(G15="","",ABS(H15-$E$4))</f>
        <v/>
      </c>
      <c r="J15" s="11">
        <f>IF(G15="","",AND(G15&gt;0,IF($K15="no_vat",G15&lt;101000,G15&gt;=101000),I15&lt;0.05,IF($L15=1,U15=0,U15&gt;0)))</f>
        <v/>
      </c>
      <c r="K15" s="11" t="inlineStr">
        <is>
          <t>no_vat</t>
        </is>
      </c>
      <c r="L15" s="11" t="n">
        <v>0</v>
      </c>
      <c r="M15" s="13">
        <f>IF(G15="","",G15/(1+IF(G15&lt;100000,0,1%)))</f>
        <v/>
      </c>
      <c r="N15" s="13">
        <f>IF(G15="","",IF(M15&lt;100000,0,M15*1%))</f>
        <v/>
      </c>
      <c r="O15" s="13">
        <f>IF(G15="","",IF(M15&lt;100000,0,N15*2.5%))</f>
        <v/>
      </c>
      <c r="P15" s="13">
        <f>IF(G15="","",IF(M15&lt;100000,0,N15*1.5%))</f>
        <v/>
      </c>
      <c r="Q15" s="13">
        <f>IF(G15="","",IF(M15&lt;100000,0,N15*1%))</f>
        <v/>
      </c>
      <c r="R15" s="13">
        <f>IF(G15="","",(G15-N15)*80%-5000*$E$5-(O15+P15+Q15))</f>
        <v/>
      </c>
      <c r="S15" s="11">
        <f>IF(G15="","",IF(R15&lt;=36000,3%,IF(R15&lt;=144000,10%,IF(R15&lt;=300000,20%,IF(R15&lt;=420000,25%,IF(R15&lt;=660000,30%,IF(R15&lt;=960000,35%,45%)))))))</f>
        <v/>
      </c>
      <c r="T15" s="13">
        <f>IF(G15="","",IF(R15&lt;=36000,0,IF(R15&lt;=144000,2520,IF(R15&lt;=300000,16920,IF(R15&lt;=420000,31920,IF(R15&lt;=660000,52920,IF(R15&lt;=960000,85920,181920)))))))</f>
        <v/>
      </c>
      <c r="U15" s="13">
        <f>IF(G15="","",MAX(0,R15*S15-T15-$E$6))</f>
        <v/>
      </c>
      <c r="V15" s="11" t="n"/>
    </row>
    <row r="16">
      <c r="A16" s="3" t="inlineStr">
        <is>
          <t>应纳所得额</t>
        </is>
      </c>
      <c r="B16" s="6">
        <f>IF(B4="","",B12-B13-B14-B15)</f>
        <v/>
      </c>
      <c r="D16" s="11" t="inlineStr">
        <is>
          <t>无增值税 / 档位10%</t>
        </is>
      </c>
      <c r="E16" s="12" t="n">
        <v>0.1</v>
      </c>
      <c r="F16" s="13" t="n">
        <v>2520</v>
      </c>
      <c r="G16" s="13">
        <f>IF($E$4="","",IF($L16=1,$E$4/(1-IF($K16="no_vat",0,21/2020)),($E$4-5000*$E$5*$E16-$F16-$E$6)/(1-IF($K16="no_vat",0,21/2020)-IF($K16="no_vat",0.8,1599/2020)*$E16)))</f>
        <v/>
      </c>
      <c r="H16" s="13">
        <f>IF(G16="","",G16-N16-O16-P16-Q16-U16)</f>
        <v/>
      </c>
      <c r="I16" s="13">
        <f>IF(G16="","",ABS(H16-$E$4))</f>
        <v/>
      </c>
      <c r="J16" s="11">
        <f>IF(G16="","",AND(G16&gt;0,IF($K16="no_vat",G16&lt;101000,G16&gt;=101000),I16&lt;0.05,IF($L16=1,U16=0,U16&gt;0)))</f>
        <v/>
      </c>
      <c r="K16" s="11" t="inlineStr">
        <is>
          <t>no_vat</t>
        </is>
      </c>
      <c r="L16" s="11" t="n">
        <v>0</v>
      </c>
      <c r="M16" s="13">
        <f>IF(G16="","",G16/(1+IF(G16&lt;100000,0,1%)))</f>
        <v/>
      </c>
      <c r="N16" s="13">
        <f>IF(G16="","",IF(M16&lt;100000,0,M16*1%))</f>
        <v/>
      </c>
      <c r="O16" s="13">
        <f>IF(G16="","",IF(M16&lt;100000,0,N16*2.5%))</f>
        <v/>
      </c>
      <c r="P16" s="13">
        <f>IF(G16="","",IF(M16&lt;100000,0,N16*1.5%))</f>
        <v/>
      </c>
      <c r="Q16" s="13">
        <f>IF(G16="","",IF(M16&lt;100000,0,N16*1%))</f>
        <v/>
      </c>
      <c r="R16" s="13">
        <f>IF(G16="","",(G16-N16)*80%-5000*$E$5-(O16+P16+Q16))</f>
        <v/>
      </c>
      <c r="S16" s="11">
        <f>IF(G16="","",IF(R16&lt;=36000,3%,IF(R16&lt;=144000,10%,IF(R16&lt;=300000,20%,IF(R16&lt;=420000,25%,IF(R16&lt;=660000,30%,IF(R16&lt;=960000,35%,45%)))))))</f>
        <v/>
      </c>
      <c r="T16" s="13">
        <f>IF(G16="","",IF(R16&lt;=36000,0,IF(R16&lt;=144000,2520,IF(R16&lt;=300000,16920,IF(R16&lt;=420000,31920,IF(R16&lt;=660000,52920,IF(R16&lt;=960000,85920,181920)))))))</f>
        <v/>
      </c>
      <c r="U16" s="13">
        <f>IF(G16="","",MAX(0,R16*S16-T16-$E$6))</f>
        <v/>
      </c>
      <c r="V16" s="11" t="n"/>
    </row>
    <row r="17">
      <c r="A17" s="3" t="inlineStr">
        <is>
          <t>预扣率</t>
        </is>
      </c>
      <c r="B17" s="14">
        <f>IF(B4="","",IF(B16&lt;=36000,3%,IF(B16&lt;=144000,10%,IF(B16&lt;=300000,20%,IF(B16&lt;=420000,25%,IF(B16&lt;=660000,30%,IF(B16&lt;=960000,35%,45%)))))))</f>
        <v/>
      </c>
      <c r="D17" s="11" t="inlineStr">
        <is>
          <t>无增值税 / 档位20%</t>
        </is>
      </c>
      <c r="E17" s="12" t="n">
        <v>0.2</v>
      </c>
      <c r="F17" s="13" t="n">
        <v>16920</v>
      </c>
      <c r="G17" s="13">
        <f>IF($E$4="","",IF($L17=1,$E$4/(1-IF($K17="no_vat",0,21/2020)),($E$4-5000*$E$5*$E17-$F17-$E$6)/(1-IF($K17="no_vat",0,21/2020)-IF($K17="no_vat",0.8,1599/2020)*$E17)))</f>
        <v/>
      </c>
      <c r="H17" s="13">
        <f>IF(G17="","",G17-N17-O17-P17-Q17-U17)</f>
        <v/>
      </c>
      <c r="I17" s="13">
        <f>IF(G17="","",ABS(H17-$E$4))</f>
        <v/>
      </c>
      <c r="J17" s="11">
        <f>IF(G17="","",AND(G17&gt;0,IF($K17="no_vat",G17&lt;101000,G17&gt;=101000),I17&lt;0.05,IF($L17=1,U17=0,U17&gt;0)))</f>
        <v/>
      </c>
      <c r="K17" s="11" t="inlineStr">
        <is>
          <t>no_vat</t>
        </is>
      </c>
      <c r="L17" s="11" t="n">
        <v>0</v>
      </c>
      <c r="M17" s="13">
        <f>IF(G17="","",G17/(1+IF(G17&lt;100000,0,1%)))</f>
        <v/>
      </c>
      <c r="N17" s="13">
        <f>IF(G17="","",IF(M17&lt;100000,0,M17*1%))</f>
        <v/>
      </c>
      <c r="O17" s="13">
        <f>IF(G17="","",IF(M17&lt;100000,0,N17*2.5%))</f>
        <v/>
      </c>
      <c r="P17" s="13">
        <f>IF(G17="","",IF(M17&lt;100000,0,N17*1.5%))</f>
        <v/>
      </c>
      <c r="Q17" s="13">
        <f>IF(G17="","",IF(M17&lt;100000,0,N17*1%))</f>
        <v/>
      </c>
      <c r="R17" s="13">
        <f>IF(G17="","",(G17-N17)*80%-5000*$E$5-(O17+P17+Q17))</f>
        <v/>
      </c>
      <c r="S17" s="11">
        <f>IF(G17="","",IF(R17&lt;=36000,3%,IF(R17&lt;=144000,10%,IF(R17&lt;=300000,20%,IF(R17&lt;=420000,25%,IF(R17&lt;=660000,30%,IF(R17&lt;=960000,35%,45%)))))))</f>
        <v/>
      </c>
      <c r="T17" s="13">
        <f>IF(G17="","",IF(R17&lt;=36000,0,IF(R17&lt;=144000,2520,IF(R17&lt;=300000,16920,IF(R17&lt;=420000,31920,IF(R17&lt;=660000,52920,IF(R17&lt;=960000,85920,181920)))))))</f>
        <v/>
      </c>
      <c r="U17" s="13">
        <f>IF(G17="","",MAX(0,R17*S17-T17-$E$6))</f>
        <v/>
      </c>
      <c r="V17" s="11" t="n"/>
    </row>
    <row r="18">
      <c r="A18" s="3" t="inlineStr">
        <is>
          <t>速算扣除数</t>
        </is>
      </c>
      <c r="B18" s="6">
        <f>IF(B4="","",IF(B16&lt;=36000,0,IF(B16&lt;=144000,2520,IF(B16&lt;=300000,16920,IF(B16&lt;=420000,31920,IF(B16&lt;=660000,52920,IF(B16&lt;=960000,85920,181920)))))))</f>
        <v/>
      </c>
      <c r="D18" s="11" t="inlineStr">
        <is>
          <t>无增值税 / 档位25%</t>
        </is>
      </c>
      <c r="E18" s="12" t="n">
        <v>0.25</v>
      </c>
      <c r="F18" s="13" t="n">
        <v>31920</v>
      </c>
      <c r="G18" s="13">
        <f>IF($E$4="","",IF($L18=1,$E$4/(1-IF($K18="no_vat",0,21/2020)),($E$4-5000*$E$5*$E18-$F18-$E$6)/(1-IF($K18="no_vat",0,21/2020)-IF($K18="no_vat",0.8,1599/2020)*$E18)))</f>
        <v/>
      </c>
      <c r="H18" s="13">
        <f>IF(G18="","",G18-N18-O18-P18-Q18-U18)</f>
        <v/>
      </c>
      <c r="I18" s="13">
        <f>IF(G18="","",ABS(H18-$E$4))</f>
        <v/>
      </c>
      <c r="J18" s="11">
        <f>IF(G18="","",AND(G18&gt;0,IF($K18="no_vat",G18&lt;101000,G18&gt;=101000),I18&lt;0.05,IF($L18=1,U18=0,U18&gt;0)))</f>
        <v/>
      </c>
      <c r="K18" s="11" t="inlineStr">
        <is>
          <t>no_vat</t>
        </is>
      </c>
      <c r="L18" s="11" t="n">
        <v>0</v>
      </c>
      <c r="M18" s="13">
        <f>IF(G18="","",G18/(1+IF(G18&lt;100000,0,1%)))</f>
        <v/>
      </c>
      <c r="N18" s="13">
        <f>IF(G18="","",IF(M18&lt;100000,0,M18*1%))</f>
        <v/>
      </c>
      <c r="O18" s="13">
        <f>IF(G18="","",IF(M18&lt;100000,0,N18*2.5%))</f>
        <v/>
      </c>
      <c r="P18" s="13">
        <f>IF(G18="","",IF(M18&lt;100000,0,N18*1.5%))</f>
        <v/>
      </c>
      <c r="Q18" s="13">
        <f>IF(G18="","",IF(M18&lt;100000,0,N18*1%))</f>
        <v/>
      </c>
      <c r="R18" s="13">
        <f>IF(G18="","",(G18-N18)*80%-5000*$E$5-(O18+P18+Q18))</f>
        <v/>
      </c>
      <c r="S18" s="11">
        <f>IF(G18="","",IF(R18&lt;=36000,3%,IF(R18&lt;=144000,10%,IF(R18&lt;=300000,20%,IF(R18&lt;=420000,25%,IF(R18&lt;=660000,30%,IF(R18&lt;=960000,35%,45%)))))))</f>
        <v/>
      </c>
      <c r="T18" s="13">
        <f>IF(G18="","",IF(R18&lt;=36000,0,IF(R18&lt;=144000,2520,IF(R18&lt;=300000,16920,IF(R18&lt;=420000,31920,IF(R18&lt;=660000,52920,IF(R18&lt;=960000,85920,181920)))))))</f>
        <v/>
      </c>
      <c r="U18" s="13">
        <f>IF(G18="","",MAX(0,R18*S18-T18-$E$6))</f>
        <v/>
      </c>
      <c r="V18" s="11" t="n"/>
    </row>
    <row r="19">
      <c r="A19" s="3" t="inlineStr">
        <is>
          <t>个税</t>
        </is>
      </c>
      <c r="B19" s="6">
        <f>IF(B4="","",MAX(0,B16*B17-B18-B6))</f>
        <v/>
      </c>
      <c r="D19" s="11" t="inlineStr">
        <is>
          <t>无增值税 / 档位30%</t>
        </is>
      </c>
      <c r="E19" s="12" t="n">
        <v>0.3</v>
      </c>
      <c r="F19" s="13" t="n">
        <v>52920</v>
      </c>
      <c r="G19" s="13">
        <f>IF($E$4="","",IF($L19=1,$E$4/(1-IF($K19="no_vat",0,21/2020)),($E$4-5000*$E$5*$E19-$F19-$E$6)/(1-IF($K19="no_vat",0,21/2020)-IF($K19="no_vat",0.8,1599/2020)*$E19)))</f>
        <v/>
      </c>
      <c r="H19" s="13">
        <f>IF(G19="","",G19-N19-O19-P19-Q19-U19)</f>
        <v/>
      </c>
      <c r="I19" s="13">
        <f>IF(G19="","",ABS(H19-$E$4))</f>
        <v/>
      </c>
      <c r="J19" s="11">
        <f>IF(G19="","",AND(G19&gt;0,IF($K19="no_vat",G19&lt;101000,G19&gt;=101000),I19&lt;0.05,IF($L19=1,U19=0,U19&gt;0)))</f>
        <v/>
      </c>
      <c r="K19" s="11" t="inlineStr">
        <is>
          <t>no_vat</t>
        </is>
      </c>
      <c r="L19" s="11" t="n">
        <v>0</v>
      </c>
      <c r="M19" s="13">
        <f>IF(G19="","",G19/(1+IF(G19&lt;100000,0,1%)))</f>
        <v/>
      </c>
      <c r="N19" s="13">
        <f>IF(G19="","",IF(M19&lt;100000,0,M19*1%))</f>
        <v/>
      </c>
      <c r="O19" s="13">
        <f>IF(G19="","",IF(M19&lt;100000,0,N19*2.5%))</f>
        <v/>
      </c>
      <c r="P19" s="13">
        <f>IF(G19="","",IF(M19&lt;100000,0,N19*1.5%))</f>
        <v/>
      </c>
      <c r="Q19" s="13">
        <f>IF(G19="","",IF(M19&lt;100000,0,N19*1%))</f>
        <v/>
      </c>
      <c r="R19" s="13">
        <f>IF(G19="","",(G19-N19)*80%-5000*$E$5-(O19+P19+Q19))</f>
        <v/>
      </c>
      <c r="S19" s="11">
        <f>IF(G19="","",IF(R19&lt;=36000,3%,IF(R19&lt;=144000,10%,IF(R19&lt;=300000,20%,IF(R19&lt;=420000,25%,IF(R19&lt;=660000,30%,IF(R19&lt;=960000,35%,45%)))))))</f>
        <v/>
      </c>
      <c r="T19" s="13">
        <f>IF(G19="","",IF(R19&lt;=36000,0,IF(R19&lt;=144000,2520,IF(R19&lt;=300000,16920,IF(R19&lt;=420000,31920,IF(R19&lt;=660000,52920,IF(R19&lt;=960000,85920,181920)))))))</f>
        <v/>
      </c>
      <c r="U19" s="13">
        <f>IF(G19="","",MAX(0,R19*S19-T19-$E$6))</f>
        <v/>
      </c>
      <c r="V19" s="11" t="n"/>
    </row>
    <row r="20">
      <c r="A20" s="3" t="inlineStr">
        <is>
          <t>税额合计</t>
        </is>
      </c>
      <c r="B20" s="6">
        <f>IF(B4="","",B8+B9+B10+B11+B19)</f>
        <v/>
      </c>
      <c r="D20" s="11" t="inlineStr">
        <is>
          <t>无增值税 / 档位35%</t>
        </is>
      </c>
      <c r="E20" s="12" t="n">
        <v>0.35</v>
      </c>
      <c r="F20" s="13" t="n">
        <v>85920</v>
      </c>
      <c r="G20" s="13">
        <f>IF($E$4="","",IF($L20=1,$E$4/(1-IF($K20="no_vat",0,21/2020)),($E$4-5000*$E$5*$E20-$F20-$E$6)/(1-IF($K20="no_vat",0,21/2020)-IF($K20="no_vat",0.8,1599/2020)*$E20)))</f>
        <v/>
      </c>
      <c r="H20" s="13">
        <f>IF(G20="","",G20-N20-O20-P20-Q20-U20)</f>
        <v/>
      </c>
      <c r="I20" s="13">
        <f>IF(G20="","",ABS(H20-$E$4))</f>
        <v/>
      </c>
      <c r="J20" s="11">
        <f>IF(G20="","",AND(G20&gt;0,IF($K20="no_vat",G20&lt;101000,G20&gt;=101000),I20&lt;0.05,IF($L20=1,U20=0,U20&gt;0)))</f>
        <v/>
      </c>
      <c r="K20" s="11" t="inlineStr">
        <is>
          <t>no_vat</t>
        </is>
      </c>
      <c r="L20" s="11" t="n">
        <v>0</v>
      </c>
      <c r="M20" s="13">
        <f>IF(G20="","",G20/(1+IF(G20&lt;100000,0,1%)))</f>
        <v/>
      </c>
      <c r="N20" s="13">
        <f>IF(G20="","",IF(M20&lt;100000,0,M20*1%))</f>
        <v/>
      </c>
      <c r="O20" s="13">
        <f>IF(G20="","",IF(M20&lt;100000,0,N20*2.5%))</f>
        <v/>
      </c>
      <c r="P20" s="13">
        <f>IF(G20="","",IF(M20&lt;100000,0,N20*1.5%))</f>
        <v/>
      </c>
      <c r="Q20" s="13">
        <f>IF(G20="","",IF(M20&lt;100000,0,N20*1%))</f>
        <v/>
      </c>
      <c r="R20" s="13">
        <f>IF(G20="","",(G20-N20)*80%-5000*$E$5-(O20+P20+Q20))</f>
        <v/>
      </c>
      <c r="S20" s="11">
        <f>IF(G20="","",IF(R20&lt;=36000,3%,IF(R20&lt;=144000,10%,IF(R20&lt;=300000,20%,IF(R20&lt;=420000,25%,IF(R20&lt;=660000,30%,IF(R20&lt;=960000,35%,45%)))))))</f>
        <v/>
      </c>
      <c r="T20" s="13">
        <f>IF(G20="","",IF(R20&lt;=36000,0,IF(R20&lt;=144000,2520,IF(R20&lt;=300000,16920,IF(R20&lt;=420000,31920,IF(R20&lt;=660000,52920,IF(R20&lt;=960000,85920,181920)))))))</f>
        <v/>
      </c>
      <c r="U20" s="13">
        <f>IF(G20="","",MAX(0,R20*S20-T20-$E$6))</f>
        <v/>
      </c>
      <c r="V20" s="11" t="n"/>
    </row>
    <row r="21">
      <c r="A21" s="3" t="inlineStr">
        <is>
          <t>实发金额（结果）</t>
        </is>
      </c>
      <c r="B21" s="7">
        <f>IF(B4="","",B4-B20)</f>
        <v/>
      </c>
      <c r="D21" s="11" t="inlineStr">
        <is>
          <t>无增值税 / 档位45%</t>
        </is>
      </c>
      <c r="E21" s="12" t="n">
        <v>0.45</v>
      </c>
      <c r="F21" s="13" t="n">
        <v>181920</v>
      </c>
      <c r="G21" s="13">
        <f>IF($E$4="","",IF($L21=1,$E$4/(1-IF($K21="no_vat",0,21/2020)),($E$4-5000*$E$5*$E21-$F21-$E$6)/(1-IF($K21="no_vat",0,21/2020)-IF($K21="no_vat",0.8,1599/2020)*$E21)))</f>
        <v/>
      </c>
      <c r="H21" s="13">
        <f>IF(G21="","",G21-N21-O21-P21-Q21-U21)</f>
        <v/>
      </c>
      <c r="I21" s="13">
        <f>IF(G21="","",ABS(H21-$E$4))</f>
        <v/>
      </c>
      <c r="J21" s="11">
        <f>IF(G21="","",AND(G21&gt;0,IF($K21="no_vat",G21&lt;101000,G21&gt;=101000),I21&lt;0.05,IF($L21=1,U21=0,U21&gt;0)))</f>
        <v/>
      </c>
      <c r="K21" s="11" t="inlineStr">
        <is>
          <t>no_vat</t>
        </is>
      </c>
      <c r="L21" s="11" t="n">
        <v>0</v>
      </c>
      <c r="M21" s="13">
        <f>IF(G21="","",G21/(1+IF(G21&lt;100000,0,1%)))</f>
        <v/>
      </c>
      <c r="N21" s="13">
        <f>IF(G21="","",IF(M21&lt;100000,0,M21*1%))</f>
        <v/>
      </c>
      <c r="O21" s="13">
        <f>IF(G21="","",IF(M21&lt;100000,0,N21*2.5%))</f>
        <v/>
      </c>
      <c r="P21" s="13">
        <f>IF(G21="","",IF(M21&lt;100000,0,N21*1.5%))</f>
        <v/>
      </c>
      <c r="Q21" s="13">
        <f>IF(G21="","",IF(M21&lt;100000,0,N21*1%))</f>
        <v/>
      </c>
      <c r="R21" s="13">
        <f>IF(G21="","",(G21-N21)*80%-5000*$E$5-(O21+P21+Q21))</f>
        <v/>
      </c>
      <c r="S21" s="11">
        <f>IF(G21="","",IF(R21&lt;=36000,3%,IF(R21&lt;=144000,10%,IF(R21&lt;=300000,20%,IF(R21&lt;=420000,25%,IF(R21&lt;=660000,30%,IF(R21&lt;=960000,35%,45%)))))))</f>
        <v/>
      </c>
      <c r="T21" s="13">
        <f>IF(G21="","",IF(R21&lt;=36000,0,IF(R21&lt;=144000,2520,IF(R21&lt;=300000,16920,IF(R21&lt;=420000,31920,IF(R21&lt;=660000,52920,IF(R21&lt;=960000,85920,181920)))))))</f>
        <v/>
      </c>
      <c r="U21" s="13">
        <f>IF(G21="","",MAX(0,R21*S21-T21-$E$6))</f>
        <v/>
      </c>
      <c r="V21" s="11" t="n"/>
    </row>
    <row r="22">
      <c r="B22" s="5" t="n"/>
      <c r="D22" s="11" t="inlineStr">
        <is>
          <t>有增值税 / 档位3%</t>
        </is>
      </c>
      <c r="E22" s="12" t="n">
        <v>0.03</v>
      </c>
      <c r="F22" s="13" t="n">
        <v>0</v>
      </c>
      <c r="G22" s="13">
        <f>IF($E$4="","",IF($L22=1,$E$4/(1-IF($K22="no_vat",0,21/2020)),($E$4-5000*$E$5*$E22-$F22-$E$6)/(1-IF($K22="no_vat",0,21/2020)-IF($K22="no_vat",0.8,1599/2020)*$E22)))</f>
        <v/>
      </c>
      <c r="H22" s="13">
        <f>IF(G22="","",G22-N22-O22-P22-Q22-U22)</f>
        <v/>
      </c>
      <c r="I22" s="13">
        <f>IF(G22="","",ABS(H22-$E$4))</f>
        <v/>
      </c>
      <c r="J22" s="11">
        <f>IF(G22="","",AND(G22&gt;0,IF($K22="no_vat",G22&lt;101000,G22&gt;=101000),I22&lt;0.05,IF($L22=1,U22=0,U22&gt;0)))</f>
        <v/>
      </c>
      <c r="K22" s="11" t="inlineStr">
        <is>
          <t>with_vat</t>
        </is>
      </c>
      <c r="L22" s="11" t="n">
        <v>0</v>
      </c>
      <c r="M22" s="13">
        <f>IF(G22="","",G22/(1+IF(G22&lt;100000,0,1%)))</f>
        <v/>
      </c>
      <c r="N22" s="13">
        <f>IF(G22="","",IF(M22&lt;100000,0,M22*1%))</f>
        <v/>
      </c>
      <c r="O22" s="13">
        <f>IF(G22="","",IF(M22&lt;100000,0,N22*2.5%))</f>
        <v/>
      </c>
      <c r="P22" s="13">
        <f>IF(G22="","",IF(M22&lt;100000,0,N22*1.5%))</f>
        <v/>
      </c>
      <c r="Q22" s="13">
        <f>IF(G22="","",IF(M22&lt;100000,0,N22*1%))</f>
        <v/>
      </c>
      <c r="R22" s="13">
        <f>IF(G22="","",(G22-N22)*80%-5000*$E$5-(O22+P22+Q22))</f>
        <v/>
      </c>
      <c r="S22" s="11">
        <f>IF(G22="","",IF(R22&lt;=36000,3%,IF(R22&lt;=144000,10%,IF(R22&lt;=300000,20%,IF(R22&lt;=420000,25%,IF(R22&lt;=660000,30%,IF(R22&lt;=960000,35%,45%)))))))</f>
        <v/>
      </c>
      <c r="T22" s="13">
        <f>IF(G22="","",IF(R22&lt;=36000,0,IF(R22&lt;=144000,2520,IF(R22&lt;=300000,16920,IF(R22&lt;=420000,31920,IF(R22&lt;=660000,52920,IF(R22&lt;=960000,85920,181920)))))))</f>
        <v/>
      </c>
      <c r="U22" s="13">
        <f>IF(G22="","",MAX(0,R22*S22-T22-$E$6))</f>
        <v/>
      </c>
      <c r="V22" s="11" t="n"/>
    </row>
    <row r="23">
      <c r="A23" s="15" t="inlineStr">
        <is>
          <t>说明：阈值按文档口径处理（含税&lt;10万时增值税率=0；不含税&lt;10万时增值税及附加免征）。</t>
        </is>
      </c>
      <c r="B23" s="16" t="n"/>
      <c r="C23" s="16" t="n"/>
      <c r="D23" s="16" t="n"/>
      <c r="E23" s="15" t="n"/>
      <c r="F23" s="13" t="n">
        <v>2520</v>
      </c>
      <c r="G23" s="13">
        <f>IF($E$4="","",IF($L23=1,$E$4/(1-IF($K23="no_vat",0,21/2020)),($E$4-5000*$E$5*$E23-$F23-$E$6)/(1-IF($K23="no_vat",0,21/2020)-IF($K23="no_vat",0.8,1599/2020)*$E23)))</f>
        <v/>
      </c>
      <c r="H23" s="13">
        <f>IF(G23="","",G23-N23-O23-P23-Q23-U23)</f>
        <v/>
      </c>
      <c r="I23" s="13">
        <f>IF(G23="","",ABS(H23-$E$4))</f>
        <v/>
      </c>
      <c r="J23" s="11">
        <f>IF(G23="","",AND(G23&gt;0,IF($K23="no_vat",G23&lt;101000,G23&gt;=101000),I23&lt;0.05,IF($L23=1,U23=0,U23&gt;0)))</f>
        <v/>
      </c>
      <c r="K23" s="11" t="inlineStr">
        <is>
          <t>with_vat</t>
        </is>
      </c>
      <c r="L23" s="11" t="n">
        <v>0</v>
      </c>
      <c r="M23" s="13">
        <f>IF(G23="","",G23/(1+IF(G23&lt;100000,0,1%)))</f>
        <v/>
      </c>
      <c r="N23" s="13">
        <f>IF(G23="","",IF(M23&lt;100000,0,M23*1%))</f>
        <v/>
      </c>
      <c r="O23" s="13">
        <f>IF(G23="","",IF(M23&lt;100000,0,N23*2.5%))</f>
        <v/>
      </c>
      <c r="P23" s="13">
        <f>IF(G23="","",IF(M23&lt;100000,0,N23*1.5%))</f>
        <v/>
      </c>
      <c r="Q23" s="13">
        <f>IF(G23="","",IF(M23&lt;100000,0,N23*1%))</f>
        <v/>
      </c>
      <c r="R23" s="13">
        <f>IF(G23="","",(G23-N23)*80%-5000*$E$5-(O23+P23+Q23))</f>
        <v/>
      </c>
      <c r="S23" s="11">
        <f>IF(G23="","",IF(R23&lt;=36000,3%,IF(R23&lt;=144000,10%,IF(R23&lt;=300000,20%,IF(R23&lt;=420000,25%,IF(R23&lt;=660000,30%,IF(R23&lt;=960000,35%,45%)))))))</f>
        <v/>
      </c>
      <c r="T23" s="13">
        <f>IF(G23="","",IF(R23&lt;=36000,0,IF(R23&lt;=144000,2520,IF(R23&lt;=300000,16920,IF(R23&lt;=420000,31920,IF(R23&lt;=660000,52920,IF(R23&lt;=960000,85920,181920)))))))</f>
        <v/>
      </c>
      <c r="U23" s="13">
        <f>IF(G23="","",MAX(0,R23*S23-T23-$E$6))</f>
        <v/>
      </c>
      <c r="V23" s="11" t="n"/>
    </row>
    <row r="24">
      <c r="A24" s="15" t="inlineStr">
        <is>
          <t>使用方式：A区填含税/月份即可得实发；B区填实发/月份即可反算含税。</t>
        </is>
      </c>
      <c r="B24" s="16" t="n"/>
      <c r="C24" s="16" t="n"/>
      <c r="D24" s="16" t="n"/>
      <c r="E24" s="15" t="n"/>
      <c r="F24" s="13" t="n">
        <v>16920</v>
      </c>
      <c r="G24" s="13">
        <f>IF($E$4="","",IF($L24=1,$E$4/(1-IF($K24="no_vat",0,21/2020)),($E$4-5000*$E$5*$E24-$F24-$E$6)/(1-IF($K24="no_vat",0,21/2020)-IF($K24="no_vat",0.8,1599/2020)*$E24)))</f>
        <v/>
      </c>
      <c r="H24" s="13">
        <f>IF(G24="","",G24-N24-O24-P24-Q24-U24)</f>
        <v/>
      </c>
      <c r="I24" s="13">
        <f>IF(G24="","",ABS(H24-$E$4))</f>
        <v/>
      </c>
      <c r="J24" s="11">
        <f>IF(G24="","",AND(G24&gt;0,IF($K24="no_vat",G24&lt;101000,G24&gt;=101000),I24&lt;0.05,IF($L24=1,U24=0,U24&gt;0)))</f>
        <v/>
      </c>
      <c r="K24" s="11" t="inlineStr">
        <is>
          <t>with_vat</t>
        </is>
      </c>
      <c r="L24" s="11" t="n">
        <v>0</v>
      </c>
      <c r="M24" s="13">
        <f>IF(G24="","",G24/(1+IF(G24&lt;100000,0,1%)))</f>
        <v/>
      </c>
      <c r="N24" s="13">
        <f>IF(G24="","",IF(M24&lt;100000,0,M24*1%))</f>
        <v/>
      </c>
      <c r="O24" s="13">
        <f>IF(G24="","",IF(M24&lt;100000,0,N24*2.5%))</f>
        <v/>
      </c>
      <c r="P24" s="13">
        <f>IF(G24="","",IF(M24&lt;100000,0,N24*1.5%))</f>
        <v/>
      </c>
      <c r="Q24" s="13">
        <f>IF(G24="","",IF(M24&lt;100000,0,N24*1%))</f>
        <v/>
      </c>
      <c r="R24" s="13">
        <f>IF(G24="","",(G24-N24)*80%-5000*$E$5-(O24+P24+Q24))</f>
        <v/>
      </c>
      <c r="S24" s="11">
        <f>IF(G24="","",IF(R24&lt;=36000,3%,IF(R24&lt;=144000,10%,IF(R24&lt;=300000,20%,IF(R24&lt;=420000,25%,IF(R24&lt;=660000,30%,IF(R24&lt;=960000,35%,45%)))))))</f>
        <v/>
      </c>
      <c r="T24" s="13">
        <f>IF(G24="","",IF(R24&lt;=36000,0,IF(R24&lt;=144000,2520,IF(R24&lt;=300000,16920,IF(R24&lt;=420000,31920,IF(R24&lt;=660000,52920,IF(R24&lt;=960000,85920,181920)))))))</f>
        <v/>
      </c>
      <c r="U24" s="13">
        <f>IF(G24="","",MAX(0,R24*S24-T24-$E$6))</f>
        <v/>
      </c>
      <c r="V24" s="11" t="n"/>
    </row>
    <row r="25">
      <c r="B25" s="5" t="n"/>
      <c r="D25" s="11" t="inlineStr">
        <is>
          <t>有增值税 / 档位25%</t>
        </is>
      </c>
      <c r="E25" s="12" t="n">
        <v>0.25</v>
      </c>
      <c r="F25" s="13" t="n">
        <v>31920</v>
      </c>
      <c r="G25" s="13">
        <f>IF($E$4="","",IF($L25=1,$E$4/(1-IF($K25="no_vat",0,21/2020)),($E$4-5000*$E$5*$E25-$F25-$E$6)/(1-IF($K25="no_vat",0,21/2020)-IF($K25="no_vat",0.8,1599/2020)*$E25)))</f>
        <v/>
      </c>
      <c r="H25" s="13">
        <f>IF(G25="","",G25-N25-O25-P25-Q25-U25)</f>
        <v/>
      </c>
      <c r="I25" s="13">
        <f>IF(G25="","",ABS(H25-$E$4))</f>
        <v/>
      </c>
      <c r="J25" s="11">
        <f>IF(G25="","",AND(G25&gt;0,IF($K25="no_vat",G25&lt;101000,G25&gt;=101000),I25&lt;0.05,IF($L25=1,U25=0,U25&gt;0)))</f>
        <v/>
      </c>
      <c r="K25" s="11" t="inlineStr">
        <is>
          <t>with_vat</t>
        </is>
      </c>
      <c r="L25" s="11" t="n">
        <v>0</v>
      </c>
      <c r="M25" s="13">
        <f>IF(G25="","",G25/(1+IF(G25&lt;100000,0,1%)))</f>
        <v/>
      </c>
      <c r="N25" s="13">
        <f>IF(G25="","",IF(M25&lt;100000,0,M25*1%))</f>
        <v/>
      </c>
      <c r="O25" s="13">
        <f>IF(G25="","",IF(M25&lt;100000,0,N25*2.5%))</f>
        <v/>
      </c>
      <c r="P25" s="13">
        <f>IF(G25="","",IF(M25&lt;100000,0,N25*1.5%))</f>
        <v/>
      </c>
      <c r="Q25" s="13">
        <f>IF(G25="","",IF(M25&lt;100000,0,N25*1%))</f>
        <v/>
      </c>
      <c r="R25" s="13">
        <f>IF(G25="","",(G25-N25)*80%-5000*$E$5-(O25+P25+Q25))</f>
        <v/>
      </c>
      <c r="S25" s="11">
        <f>IF(G25="","",IF(R25&lt;=36000,3%,IF(R25&lt;=144000,10%,IF(R25&lt;=300000,20%,IF(R25&lt;=420000,25%,IF(R25&lt;=660000,30%,IF(R25&lt;=960000,35%,45%)))))))</f>
        <v/>
      </c>
      <c r="T25" s="13">
        <f>IF(G25="","",IF(R25&lt;=36000,0,IF(R25&lt;=144000,2520,IF(R25&lt;=300000,16920,IF(R25&lt;=420000,31920,IF(R25&lt;=660000,52920,IF(R25&lt;=960000,85920,181920)))))))</f>
        <v/>
      </c>
      <c r="U25" s="13">
        <f>IF(G25="","",MAX(0,R25*S25-T25-$E$6))</f>
        <v/>
      </c>
      <c r="V25" s="11" t="n"/>
    </row>
    <row r="26">
      <c r="B26" s="5" t="n"/>
      <c r="D26" s="11" t="inlineStr">
        <is>
          <t>有增值税 / 档位30%</t>
        </is>
      </c>
      <c r="E26" s="12" t="n">
        <v>0.3</v>
      </c>
      <c r="F26" s="13" t="n">
        <v>52920</v>
      </c>
      <c r="G26" s="13">
        <f>IF($E$4="","",IF($L26=1,$E$4/(1-IF($K26="no_vat",0,21/2020)),($E$4-5000*$E$5*$E26-$F26-$E$6)/(1-IF($K26="no_vat",0,21/2020)-IF($K26="no_vat",0.8,1599/2020)*$E26)))</f>
        <v/>
      </c>
      <c r="H26" s="13">
        <f>IF(G26="","",G26-N26-O26-P26-Q26-U26)</f>
        <v/>
      </c>
      <c r="I26" s="13">
        <f>IF(G26="","",ABS(H26-$E$4))</f>
        <v/>
      </c>
      <c r="J26" s="11">
        <f>IF(G26="","",AND(G26&gt;0,IF($K26="no_vat",G26&lt;101000,G26&gt;=101000),I26&lt;0.05,IF($L26=1,U26=0,U26&gt;0)))</f>
        <v/>
      </c>
      <c r="K26" s="11" t="inlineStr">
        <is>
          <t>with_vat</t>
        </is>
      </c>
      <c r="L26" s="11" t="n">
        <v>0</v>
      </c>
      <c r="M26" s="13">
        <f>IF(G26="","",G26/(1+IF(G26&lt;100000,0,1%)))</f>
        <v/>
      </c>
      <c r="N26" s="13">
        <f>IF(G26="","",IF(M26&lt;100000,0,M26*1%))</f>
        <v/>
      </c>
      <c r="O26" s="13">
        <f>IF(G26="","",IF(M26&lt;100000,0,N26*2.5%))</f>
        <v/>
      </c>
      <c r="P26" s="13">
        <f>IF(G26="","",IF(M26&lt;100000,0,N26*1.5%))</f>
        <v/>
      </c>
      <c r="Q26" s="13">
        <f>IF(G26="","",IF(M26&lt;100000,0,N26*1%))</f>
        <v/>
      </c>
      <c r="R26" s="13">
        <f>IF(G26="","",(G26-N26)*80%-5000*$E$5-(O26+P26+Q26))</f>
        <v/>
      </c>
      <c r="S26" s="11">
        <f>IF(G26="","",IF(R26&lt;=36000,3%,IF(R26&lt;=144000,10%,IF(R26&lt;=300000,20%,IF(R26&lt;=420000,25%,IF(R26&lt;=660000,30%,IF(R26&lt;=960000,35%,45%)))))))</f>
        <v/>
      </c>
      <c r="T26" s="13">
        <f>IF(G26="","",IF(R26&lt;=36000,0,IF(R26&lt;=144000,2520,IF(R26&lt;=300000,16920,IF(R26&lt;=420000,31920,IF(R26&lt;=660000,52920,IF(R26&lt;=960000,85920,181920)))))))</f>
        <v/>
      </c>
      <c r="U26" s="13">
        <f>IF(G26="","",MAX(0,R26*S26-T26-$E$6))</f>
        <v/>
      </c>
      <c r="V26" s="11" t="n"/>
    </row>
    <row r="27">
      <c r="B27" s="5" t="n"/>
      <c r="D27" s="11" t="inlineStr">
        <is>
          <t>有增值税 / 档位35%</t>
        </is>
      </c>
      <c r="E27" s="12" t="n">
        <v>0.35</v>
      </c>
      <c r="F27" s="13" t="n">
        <v>85920</v>
      </c>
      <c r="G27" s="13">
        <f>IF($E$4="","",IF($L27=1,$E$4/(1-IF($K27="no_vat",0,21/2020)),($E$4-5000*$E$5*$E27-$F27-$E$6)/(1-IF($K27="no_vat",0,21/2020)-IF($K27="no_vat",0.8,1599/2020)*$E27)))</f>
        <v/>
      </c>
      <c r="H27" s="13">
        <f>IF(G27="","",G27-N27-O27-P27-Q27-U27)</f>
        <v/>
      </c>
      <c r="I27" s="13">
        <f>IF(G27="","",ABS(H27-$E$4))</f>
        <v/>
      </c>
      <c r="J27" s="11">
        <f>IF(G27="","",AND(G27&gt;0,IF($K27="no_vat",G27&lt;101000,G27&gt;=101000),I27&lt;0.05,IF($L27=1,U27=0,U27&gt;0)))</f>
        <v/>
      </c>
      <c r="K27" s="11" t="inlineStr">
        <is>
          <t>with_vat</t>
        </is>
      </c>
      <c r="L27" s="11" t="n">
        <v>0</v>
      </c>
      <c r="M27" s="13">
        <f>IF(G27="","",G27/(1+IF(G27&lt;100000,0,1%)))</f>
        <v/>
      </c>
      <c r="N27" s="13">
        <f>IF(G27="","",IF(M27&lt;100000,0,M27*1%))</f>
        <v/>
      </c>
      <c r="O27" s="13">
        <f>IF(G27="","",IF(M27&lt;100000,0,N27*2.5%))</f>
        <v/>
      </c>
      <c r="P27" s="13">
        <f>IF(G27="","",IF(M27&lt;100000,0,N27*1.5%))</f>
        <v/>
      </c>
      <c r="Q27" s="13">
        <f>IF(G27="","",IF(M27&lt;100000,0,N27*1%))</f>
        <v/>
      </c>
      <c r="R27" s="13">
        <f>IF(G27="","",(G27-N27)*80%-5000*$E$5-(O27+P27+Q27))</f>
        <v/>
      </c>
      <c r="S27" s="11">
        <f>IF(G27="","",IF(R27&lt;=36000,3%,IF(R27&lt;=144000,10%,IF(R27&lt;=300000,20%,IF(R27&lt;=420000,25%,IF(R27&lt;=660000,30%,IF(R27&lt;=960000,35%,45%)))))))</f>
        <v/>
      </c>
      <c r="T27" s="13">
        <f>IF(G27="","",IF(R27&lt;=36000,0,IF(R27&lt;=144000,2520,IF(R27&lt;=300000,16920,IF(R27&lt;=420000,31920,IF(R27&lt;=660000,52920,IF(R27&lt;=960000,85920,181920)))))))</f>
        <v/>
      </c>
      <c r="U27" s="13">
        <f>IF(G27="","",MAX(0,R27*S27-T27-$E$6))</f>
        <v/>
      </c>
      <c r="V27" s="11" t="n"/>
    </row>
    <row r="28">
      <c r="B28" s="5" t="n"/>
      <c r="D28" s="11" t="inlineStr">
        <is>
          <t>有增值税 / 档位45%</t>
        </is>
      </c>
      <c r="E28" s="12" t="n">
        <v>0.45</v>
      </c>
      <c r="F28" s="13" t="n">
        <v>181920</v>
      </c>
      <c r="G28" s="13">
        <f>IF($E$4="","",IF($L28=1,$E$4/(1-IF($K28="no_vat",0,21/2020)),($E$4-5000*$E$5*$E28-$F28-$E$6)/(1-IF($K28="no_vat",0,21/2020)-IF($K28="no_vat",0.8,1599/2020)*$E28)))</f>
        <v/>
      </c>
      <c r="H28" s="13">
        <f>IF(G28="","",G28-N28-O28-P28-Q28-U28)</f>
        <v/>
      </c>
      <c r="I28" s="13">
        <f>IF(G28="","",ABS(H28-$E$4))</f>
        <v/>
      </c>
      <c r="J28" s="11">
        <f>IF(G28="","",AND(G28&gt;0,IF($K28="no_vat",G28&lt;101000,G28&gt;=101000),I28&lt;0.05,IF($L28=1,U28=0,U28&gt;0)))</f>
        <v/>
      </c>
      <c r="K28" s="11" t="inlineStr">
        <is>
          <t>with_vat</t>
        </is>
      </c>
      <c r="L28" s="11" t="n">
        <v>0</v>
      </c>
      <c r="M28" s="13">
        <f>IF(G28="","",G28/(1+IF(G28&lt;100000,0,1%)))</f>
        <v/>
      </c>
      <c r="N28" s="13">
        <f>IF(G28="","",IF(M28&lt;100000,0,M28*1%))</f>
        <v/>
      </c>
      <c r="O28" s="13">
        <f>IF(G28="","",IF(M28&lt;100000,0,N28*2.5%))</f>
        <v/>
      </c>
      <c r="P28" s="13">
        <f>IF(G28="","",IF(M28&lt;100000,0,N28*1.5%))</f>
        <v/>
      </c>
      <c r="Q28" s="13">
        <f>IF(G28="","",IF(M28&lt;100000,0,N28*1%))</f>
        <v/>
      </c>
      <c r="R28" s="13">
        <f>IF(G28="","",(G28-N28)*80%-5000*$E$5-(O28+P28+Q28))</f>
        <v/>
      </c>
      <c r="S28" s="11">
        <f>IF(G28="","",IF(R28&lt;=36000,3%,IF(R28&lt;=144000,10%,IF(R28&lt;=300000,20%,IF(R28&lt;=420000,25%,IF(R28&lt;=660000,30%,IF(R28&lt;=960000,35%,45%)))))))</f>
        <v/>
      </c>
      <c r="T28" s="13">
        <f>IF(G28="","",IF(R28&lt;=36000,0,IF(R28&lt;=144000,2520,IF(R28&lt;=300000,16920,IF(R28&lt;=420000,31920,IF(R28&lt;=660000,52920,IF(R28&lt;=960000,85920,181920)))))))</f>
        <v/>
      </c>
      <c r="U28" s="13">
        <f>IF(G28="","",MAX(0,R28*S28-T28-$E$6))</f>
        <v/>
      </c>
      <c r="V28" s="11" t="n"/>
    </row>
  </sheetData>
  <mergeCells count="5">
    <mergeCell ref="A2:B2"/>
    <mergeCell ref="A24:E24"/>
    <mergeCell ref="D2:E2"/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2026-03-06T09:20:01Z</dcterms:created>
  <dcterms:modified xsi:type="dcterms:W3CDTF">2026-03-06T09:20:54Z</dcterms:modified>
</cp:coreProperties>
</file>