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度计算" sheetId="1" state="visible" r:id="rId1"/>
    <sheet name="反算辅助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5" borderId="1" applyAlignment="1" pivotButton="0" quotePrefix="0" xfId="0">
      <alignment horizontal="general" vertical="center"/>
    </xf>
    <xf numFmtId="4" fontId="0" fillId="0" borderId="1" applyAlignment="1" pivotButton="0" quotePrefix="0" xfId="0">
      <alignment horizontal="general" vertical="center"/>
    </xf>
    <xf numFmtId="4" fontId="2" fillId="6" borderId="1" applyAlignment="1" pivotButton="0" quotePrefix="0" xfId="0">
      <alignment horizontal="general" vertical="center"/>
    </xf>
    <xf numFmtId="1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center"/>
    </xf>
    <xf numFmtId="4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0" customWidth="1" min="4" max="4"/>
    <col width="10" customWidth="1" min="5" max="5"/>
    <col width="20" customWidth="1" min="6" max="6"/>
    <col width="15" customWidth="1" min="7" max="7"/>
    <col width="13" customWidth="1" min="8" max="8"/>
    <col width="10" customWidth="1" min="9" max="9"/>
    <col width="10" customWidth="1" min="10" max="10"/>
    <col width="12" customWidth="1" min="11" max="11"/>
    <col width="14" customWidth="1" min="12" max="12"/>
    <col width="16" customWidth="1" min="13" max="13"/>
    <col width="15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4" customWidth="1" min="20" max="20"/>
    <col width="12" customWidth="1" min="21" max="21"/>
    <col width="22" customWidth="1" min="22" max="22"/>
    <col hidden="1" width="12" customWidth="1" min="23" max="23"/>
    <col hidden="1" width="14" customWidth="1" min="24" max="24"/>
    <col hidden="1" width="14" customWidth="1" min="25" max="25"/>
    <col hidden="1" width="14" customWidth="1" min="26" max="26"/>
    <col hidden="1" width="14" customWidth="1" min="27" max="27"/>
    <col hidden="1" width="12" customWidth="1" min="28" max="28"/>
    <col hidden="1" width="12" customWidth="1" min="29" max="29"/>
  </cols>
  <sheetData>
    <row r="1">
      <c r="A1" s="1" t="inlineStr">
        <is>
          <t>连续劳务报酬 12个月计算器（按上传规则）</t>
        </is>
      </c>
    </row>
    <row r="2">
      <c r="A2" s="2" t="inlineStr">
        <is>
          <t>用法：每月二选一输入（含税或实发），系统自动计算另一项；若中间月份无收入，下月自动重新按第1个月累计。</t>
        </is>
      </c>
    </row>
    <row r="4">
      <c r="A4" s="3" t="inlineStr">
        <is>
          <t>月份</t>
        </is>
      </c>
      <c r="B4" s="3" t="inlineStr">
        <is>
          <t>输入含税金额</t>
        </is>
      </c>
      <c r="C4" s="3" t="inlineStr">
        <is>
          <t>输入实发金额</t>
        </is>
      </c>
      <c r="D4" s="3" t="inlineStr">
        <is>
          <t>是否有收入</t>
        </is>
      </c>
      <c r="E4" s="3" t="inlineStr">
        <is>
          <t>连续月数</t>
        </is>
      </c>
      <c r="F4" s="3" t="inlineStr">
        <is>
          <t>累计已预扣个税(本月计算用)</t>
        </is>
      </c>
      <c r="G4" s="3" t="inlineStr">
        <is>
          <t>含税金额(结果)</t>
        </is>
      </c>
      <c r="H4" s="3" t="inlineStr">
        <is>
          <t>不含税金额</t>
        </is>
      </c>
      <c r="I4" s="3" t="inlineStr">
        <is>
          <t>增值税</t>
        </is>
      </c>
      <c r="J4" s="3" t="inlineStr">
        <is>
          <t>城建税</t>
        </is>
      </c>
      <c r="K4" s="3" t="inlineStr">
        <is>
          <t>教育附加税</t>
        </is>
      </c>
      <c r="L4" s="3" t="inlineStr">
        <is>
          <t>地方教育附加税</t>
        </is>
      </c>
      <c r="M4" s="3" t="inlineStr">
        <is>
          <t>当月收入(含税-增值税)</t>
        </is>
      </c>
      <c r="N4" s="3" t="inlineStr">
        <is>
          <t>累计应纳所得额</t>
        </is>
      </c>
      <c r="O4" s="3" t="inlineStr">
        <is>
          <t>预扣率</t>
        </is>
      </c>
      <c r="P4" s="3" t="inlineStr">
        <is>
          <t>速算扣除数</t>
        </is>
      </c>
      <c r="Q4" s="3" t="inlineStr">
        <is>
          <t>本月个税</t>
        </is>
      </c>
      <c r="R4" s="3" t="inlineStr">
        <is>
          <t>税额合计</t>
        </is>
      </c>
      <c r="S4" s="3" t="inlineStr">
        <is>
          <t>实发金额(结果)</t>
        </is>
      </c>
      <c r="T4" s="3" t="inlineStr">
        <is>
          <t>本连续段个税合计</t>
        </is>
      </c>
      <c r="U4" s="3" t="inlineStr">
        <is>
          <t>误差/提示</t>
        </is>
      </c>
      <c r="V4" s="3" t="inlineStr">
        <is>
          <t>备注</t>
        </is>
      </c>
      <c r="W4" s="4" t="inlineStr">
        <is>
          <t>当月附加合计</t>
        </is>
      </c>
      <c r="X4" s="4" t="inlineStr">
        <is>
          <t>本连续段累计含税</t>
        </is>
      </c>
      <c r="Y4" s="4" t="inlineStr">
        <is>
          <t>本连续段累计增值税</t>
        </is>
      </c>
      <c r="Z4" s="4" t="inlineStr">
        <is>
          <t>本连续段累计附加</t>
        </is>
      </c>
      <c r="AA4" s="4" t="inlineStr">
        <is>
          <t>本连续段累计收入</t>
        </is>
      </c>
      <c r="AB4" s="4" t="inlineStr">
        <is>
          <t>上月累计收入</t>
        </is>
      </c>
      <c r="AC4" s="4" t="inlineStr">
        <is>
          <t>上月累计附加</t>
        </is>
      </c>
    </row>
    <row r="5">
      <c r="A5" s="5" t="n">
        <v>1</v>
      </c>
      <c r="B5" s="6" t="n">
        <v>51797.23</v>
      </c>
      <c r="C5" s="6" t="n"/>
      <c r="D5" s="5">
        <f>IF(OR(B5&lt;&gt;"",C5&lt;&gt;""),1,0)</f>
        <v/>
      </c>
      <c r="E5" s="5">
        <f>IF(D5=0,0,1)</f>
        <v/>
      </c>
      <c r="F5" s="7">
        <f>IF(D5=0,"",0)</f>
        <v/>
      </c>
      <c r="G5" s="8">
        <f>IF(D5=0,"",IF(B5&lt;&gt;"",B5,IFERROR(INDEX(反算辅助!$DC$2:$DC$13,ROW()-4),"")))</f>
        <v/>
      </c>
      <c r="H5" s="7">
        <f>IF(ISNUMBER(G5),G5/(1+IF(G5&lt;100000,0,1%)),"")</f>
        <v/>
      </c>
      <c r="I5" s="7">
        <f>IF(ISNUMBER(G5),IF(H5&lt;100000,0,H5*1%),"")</f>
        <v/>
      </c>
      <c r="J5" s="7">
        <f>IF(ISNUMBER(G5),IF(H5&lt;100000,0,I5*2.5%),"")</f>
        <v/>
      </c>
      <c r="K5" s="7">
        <f>IF(ISNUMBER(G5),IF(H5&lt;100000,0,I5*1.5%),"")</f>
        <v/>
      </c>
      <c r="L5" s="7">
        <f>IF(ISNUMBER(G5),IF(H5&lt;100000,0,I5*1%),"")</f>
        <v/>
      </c>
      <c r="M5" s="7">
        <f>IF(ISNUMBER(G5),G5-I5,"")</f>
        <v/>
      </c>
      <c r="N5" s="7">
        <f>IF(D5=0,"",AA5*80%-5000*E5-Z5)</f>
        <v/>
      </c>
      <c r="O5" s="9">
        <f>IF(D5=0,"",IF(N5&lt;=36000,3%,IF(N5&lt;=144000,10%,IF(N5&lt;=300000,20%,IF(N5&lt;=420000,25%,IF(N5&lt;=660000,30%,IF(N5&lt;=960000,35%,45%)))))))</f>
        <v/>
      </c>
      <c r="P5" s="10">
        <f>IF(D5=0,"",IF(N5&lt;=36000,0,IF(N5&lt;=144000,2520,IF(N5&lt;=300000,16920,IF(N5&lt;=420000,31920,IF(N5&lt;=660000,52920,IF(N5&lt;=960000,85920,181920)))))))</f>
        <v/>
      </c>
      <c r="Q5" s="7">
        <f>IF(D5=0,"",MAX(0,N5*O5-P5-F5))</f>
        <v/>
      </c>
      <c r="R5" s="7">
        <f>IF(D5=0,"",I5+J5+K5+L5+Q5)</f>
        <v/>
      </c>
      <c r="S5" s="8">
        <f>IF(D5=0,"",G5-R5)</f>
        <v/>
      </c>
      <c r="T5" s="7">
        <f>IF(D5=0,"",F5+Q5)</f>
        <v/>
      </c>
      <c r="U5" s="7">
        <f>IF(AND(C5&lt;&gt;"",B5=""),S5-C5,"")</f>
        <v/>
      </c>
      <c r="V5" s="11">
        <f>IF(AND(D5=1,ISNUMBER(G5)=FALSE),"反算失败，请检查输入",IF(AND(B5&lt;&gt;"",C5&lt;&gt;""),"已按含税金额优先",""))</f>
        <v/>
      </c>
      <c r="W5" s="12">
        <f>IF(ISNUMBER(G5),J5+K5+L5,"")</f>
        <v/>
      </c>
      <c r="X5" s="12">
        <f>IF(D5=0,"",G5)</f>
        <v/>
      </c>
      <c r="Y5" s="12">
        <f>IF(D5=0,"",I5)</f>
        <v/>
      </c>
      <c r="Z5" s="12">
        <f>IF(D5=0,"",W5)</f>
        <v/>
      </c>
      <c r="AA5" s="12">
        <f>IF(D5=0,"",X5-Y5)</f>
        <v/>
      </c>
      <c r="AB5" s="12">
        <f>IF(D5=0,"",0)</f>
        <v/>
      </c>
      <c r="AC5" s="12">
        <f>IF(D5=0,"",0)</f>
        <v/>
      </c>
    </row>
    <row r="6">
      <c r="A6" s="5" t="n">
        <v>2</v>
      </c>
      <c r="B6" s="6" t="n"/>
      <c r="C6" s="6" t="n"/>
      <c r="D6" s="5">
        <f>IF(OR(B6&lt;&gt;"",C6&lt;&gt;""),1,0)</f>
        <v/>
      </c>
      <c r="E6" s="5">
        <f>IF(D6=0,0,IF(D5=0,1,E5+1))</f>
        <v/>
      </c>
      <c r="F6" s="7">
        <f>IF(D6=0,"",IF(D5=0,0,T5))</f>
        <v/>
      </c>
      <c r="G6" s="8">
        <f>IF(D6=0,"",IF(B6&lt;&gt;"",B6,IFERROR(INDEX(反算辅助!$DC$2:$DC$13,ROW()-4),"")))</f>
        <v/>
      </c>
      <c r="H6" s="7">
        <f>IF(ISNUMBER(G6),G6/(1+IF(G6&lt;100000,0,1%)),"")</f>
        <v/>
      </c>
      <c r="I6" s="7">
        <f>IF(ISNUMBER(G6),IF(H6&lt;100000,0,H6*1%),"")</f>
        <v/>
      </c>
      <c r="J6" s="7">
        <f>IF(ISNUMBER(G6),IF(H6&lt;100000,0,I6*2.5%),"")</f>
        <v/>
      </c>
      <c r="K6" s="7">
        <f>IF(ISNUMBER(G6),IF(H6&lt;100000,0,I6*1.5%),"")</f>
        <v/>
      </c>
      <c r="L6" s="7">
        <f>IF(ISNUMBER(G6),IF(H6&lt;100000,0,I6*1%),"")</f>
        <v/>
      </c>
      <c r="M6" s="7">
        <f>IF(ISNUMBER(G6),G6-I6,"")</f>
        <v/>
      </c>
      <c r="N6" s="7">
        <f>IF(D6=0,"",AA6*80%-5000*E6-Z6)</f>
        <v/>
      </c>
      <c r="O6" s="9">
        <f>IF(D6=0,"",IF(N6&lt;=36000,3%,IF(N6&lt;=144000,10%,IF(N6&lt;=300000,20%,IF(N6&lt;=420000,25%,IF(N6&lt;=660000,30%,IF(N6&lt;=960000,35%,45%)))))))</f>
        <v/>
      </c>
      <c r="P6" s="10">
        <f>IF(D6=0,"",IF(N6&lt;=36000,0,IF(N6&lt;=144000,2520,IF(N6&lt;=300000,16920,IF(N6&lt;=420000,31920,IF(N6&lt;=660000,52920,IF(N6&lt;=960000,85920,181920)))))))</f>
        <v/>
      </c>
      <c r="Q6" s="7">
        <f>IF(D6=0,"",MAX(0,N6*O6-P6-F6))</f>
        <v/>
      </c>
      <c r="R6" s="7">
        <f>IF(D6=0,"",I6+J6+K6+L6+Q6)</f>
        <v/>
      </c>
      <c r="S6" s="8">
        <f>IF(D6=0,"",G6-R6)</f>
        <v/>
      </c>
      <c r="T6" s="7">
        <f>IF(D6=0,"",F6+Q6)</f>
        <v/>
      </c>
      <c r="U6" s="7">
        <f>IF(AND(C6&lt;&gt;"",B6=""),S6-C6,"")</f>
        <v/>
      </c>
      <c r="V6" s="11">
        <f>IF(AND(D6=1,ISNUMBER(G6)=FALSE),"反算失败，请检查输入",IF(AND(B6&lt;&gt;"",C6&lt;&gt;""),"已按含税金额优先",""))</f>
        <v/>
      </c>
      <c r="W6" s="12">
        <f>IF(ISNUMBER(G6),J6+K6+L6,"")</f>
        <v/>
      </c>
      <c r="X6" s="12">
        <f>IF(D6=0,"",IF(D5=0,G6,X5+G6))</f>
        <v/>
      </c>
      <c r="Y6" s="12">
        <f>IF(D6=0,"",IF(D5=0,I6,Y5+I6))</f>
        <v/>
      </c>
      <c r="Z6" s="12">
        <f>IF(D6=0,"",IF(D5=0,W6,Z5+W6))</f>
        <v/>
      </c>
      <c r="AA6" s="12">
        <f>IF(D6=0,"",X6-Y6)</f>
        <v/>
      </c>
      <c r="AB6" s="12">
        <f>IF(D6=0,"",IF(D5=0,0,AA5))</f>
        <v/>
      </c>
      <c r="AC6" s="12">
        <f>IF(D6=0,"",IF(D5=0,0,Z5))</f>
        <v/>
      </c>
    </row>
    <row r="7">
      <c r="A7" s="5" t="n">
        <v>3</v>
      </c>
      <c r="B7" s="6" t="n"/>
      <c r="C7" s="6" t="n"/>
      <c r="D7" s="5">
        <f>IF(OR(B7&lt;&gt;"",C7&lt;&gt;""),1,0)</f>
        <v/>
      </c>
      <c r="E7" s="5">
        <f>IF(D7=0,0,IF(D6=0,1,E6+1))</f>
        <v/>
      </c>
      <c r="F7" s="7">
        <f>IF(D7=0,"",IF(D6=0,0,T6))</f>
        <v/>
      </c>
      <c r="G7" s="8">
        <f>IF(D7=0,"",IF(B7&lt;&gt;"",B7,IFERROR(INDEX(反算辅助!$DC$2:$DC$13,ROW()-4),"")))</f>
        <v/>
      </c>
      <c r="H7" s="7">
        <f>IF(ISNUMBER(G7),G7/(1+IF(G7&lt;100000,0,1%)),"")</f>
        <v/>
      </c>
      <c r="I7" s="7">
        <f>IF(ISNUMBER(G7),IF(H7&lt;100000,0,H7*1%),"")</f>
        <v/>
      </c>
      <c r="J7" s="7">
        <f>IF(ISNUMBER(G7),IF(H7&lt;100000,0,I7*2.5%),"")</f>
        <v/>
      </c>
      <c r="K7" s="7">
        <f>IF(ISNUMBER(G7),IF(H7&lt;100000,0,I7*1.5%),"")</f>
        <v/>
      </c>
      <c r="L7" s="7">
        <f>IF(ISNUMBER(G7),IF(H7&lt;100000,0,I7*1%),"")</f>
        <v/>
      </c>
      <c r="M7" s="7">
        <f>IF(ISNUMBER(G7),G7-I7,"")</f>
        <v/>
      </c>
      <c r="N7" s="7">
        <f>IF(D7=0,"",AA7*80%-5000*E7-Z7)</f>
        <v/>
      </c>
      <c r="O7" s="9">
        <f>IF(D7=0,"",IF(N7&lt;=36000,3%,IF(N7&lt;=144000,10%,IF(N7&lt;=300000,20%,IF(N7&lt;=420000,25%,IF(N7&lt;=660000,30%,IF(N7&lt;=960000,35%,45%)))))))</f>
        <v/>
      </c>
      <c r="P7" s="10">
        <f>IF(D7=0,"",IF(N7&lt;=36000,0,IF(N7&lt;=144000,2520,IF(N7&lt;=300000,16920,IF(N7&lt;=420000,31920,IF(N7&lt;=660000,52920,IF(N7&lt;=960000,85920,181920)))))))</f>
        <v/>
      </c>
      <c r="Q7" s="7">
        <f>IF(D7=0,"",MAX(0,N7*O7-P7-F7))</f>
        <v/>
      </c>
      <c r="R7" s="7">
        <f>IF(D7=0,"",I7+J7+K7+L7+Q7)</f>
        <v/>
      </c>
      <c r="S7" s="8">
        <f>IF(D7=0,"",G7-R7)</f>
        <v/>
      </c>
      <c r="T7" s="7">
        <f>IF(D7=0,"",F7+Q7)</f>
        <v/>
      </c>
      <c r="U7" s="7">
        <f>IF(AND(C7&lt;&gt;"",B7=""),S7-C7,"")</f>
        <v/>
      </c>
      <c r="V7" s="11">
        <f>IF(AND(D7=1,ISNUMBER(G7)=FALSE),"反算失败，请检查输入",IF(AND(B7&lt;&gt;"",C7&lt;&gt;""),"已按含税金额优先",""))</f>
        <v/>
      </c>
      <c r="W7" s="12">
        <f>IF(ISNUMBER(G7),J7+K7+L7,"")</f>
        <v/>
      </c>
      <c r="X7" s="12">
        <f>IF(D7=0,"",IF(D6=0,G7,X6+G7))</f>
        <v/>
      </c>
      <c r="Y7" s="12">
        <f>IF(D7=0,"",IF(D6=0,I7,Y6+I7))</f>
        <v/>
      </c>
      <c r="Z7" s="12">
        <f>IF(D7=0,"",IF(D6=0,W7,Z6+W7))</f>
        <v/>
      </c>
      <c r="AA7" s="12">
        <f>IF(D7=0,"",X7-Y7)</f>
        <v/>
      </c>
      <c r="AB7" s="12">
        <f>IF(D7=0,"",IF(D6=0,0,AA6))</f>
        <v/>
      </c>
      <c r="AC7" s="12">
        <f>IF(D7=0,"",IF(D6=0,0,Z6))</f>
        <v/>
      </c>
    </row>
    <row r="8">
      <c r="A8" s="5" t="n">
        <v>4</v>
      </c>
      <c r="B8" s="6" t="n"/>
      <c r="C8" s="6" t="n"/>
      <c r="D8" s="5">
        <f>IF(OR(B8&lt;&gt;"",C8&lt;&gt;""),1,0)</f>
        <v/>
      </c>
      <c r="E8" s="5">
        <f>IF(D8=0,0,IF(D7=0,1,E7+1))</f>
        <v/>
      </c>
      <c r="F8" s="7">
        <f>IF(D8=0,"",IF(D7=0,0,T7))</f>
        <v/>
      </c>
      <c r="G8" s="8">
        <f>IF(D8=0,"",IF(B8&lt;&gt;"",B8,IFERROR(INDEX(反算辅助!$DC$2:$DC$13,ROW()-4),"")))</f>
        <v/>
      </c>
      <c r="H8" s="7">
        <f>IF(ISNUMBER(G8),G8/(1+IF(G8&lt;100000,0,1%)),"")</f>
        <v/>
      </c>
      <c r="I8" s="7">
        <f>IF(ISNUMBER(G8),IF(H8&lt;100000,0,H8*1%),"")</f>
        <v/>
      </c>
      <c r="J8" s="7">
        <f>IF(ISNUMBER(G8),IF(H8&lt;100000,0,I8*2.5%),"")</f>
        <v/>
      </c>
      <c r="K8" s="7">
        <f>IF(ISNUMBER(G8),IF(H8&lt;100000,0,I8*1.5%),"")</f>
        <v/>
      </c>
      <c r="L8" s="7">
        <f>IF(ISNUMBER(G8),IF(H8&lt;100000,0,I8*1%),"")</f>
        <v/>
      </c>
      <c r="M8" s="7">
        <f>IF(ISNUMBER(G8),G8-I8,"")</f>
        <v/>
      </c>
      <c r="N8" s="7">
        <f>IF(D8=0,"",AA8*80%-5000*E8-Z8)</f>
        <v/>
      </c>
      <c r="O8" s="9">
        <f>IF(D8=0,"",IF(N8&lt;=36000,3%,IF(N8&lt;=144000,10%,IF(N8&lt;=300000,20%,IF(N8&lt;=420000,25%,IF(N8&lt;=660000,30%,IF(N8&lt;=960000,35%,45%)))))))</f>
        <v/>
      </c>
      <c r="P8" s="10">
        <f>IF(D8=0,"",IF(N8&lt;=36000,0,IF(N8&lt;=144000,2520,IF(N8&lt;=300000,16920,IF(N8&lt;=420000,31920,IF(N8&lt;=660000,52920,IF(N8&lt;=960000,85920,181920)))))))</f>
        <v/>
      </c>
      <c r="Q8" s="7">
        <f>IF(D8=0,"",MAX(0,N8*O8-P8-F8))</f>
        <v/>
      </c>
      <c r="R8" s="7">
        <f>IF(D8=0,"",I8+J8+K8+L8+Q8)</f>
        <v/>
      </c>
      <c r="S8" s="8">
        <f>IF(D8=0,"",G8-R8)</f>
        <v/>
      </c>
      <c r="T8" s="7">
        <f>IF(D8=0,"",F8+Q8)</f>
        <v/>
      </c>
      <c r="U8" s="7">
        <f>IF(AND(C8&lt;&gt;"",B8=""),S8-C8,"")</f>
        <v/>
      </c>
      <c r="V8" s="11">
        <f>IF(AND(D8=1,ISNUMBER(G8)=FALSE),"反算失败，请检查输入",IF(AND(B8&lt;&gt;"",C8&lt;&gt;""),"已按含税金额优先",""))</f>
        <v/>
      </c>
      <c r="W8" s="12">
        <f>IF(ISNUMBER(G8),J8+K8+L8,"")</f>
        <v/>
      </c>
      <c r="X8" s="12">
        <f>IF(D8=0,"",IF(D7=0,G8,X7+G8))</f>
        <v/>
      </c>
      <c r="Y8" s="12">
        <f>IF(D8=0,"",IF(D7=0,I8,Y7+I8))</f>
        <v/>
      </c>
      <c r="Z8" s="12">
        <f>IF(D8=0,"",IF(D7=0,W8,Z7+W8))</f>
        <v/>
      </c>
      <c r="AA8" s="12">
        <f>IF(D8=0,"",X8-Y8)</f>
        <v/>
      </c>
      <c r="AB8" s="12">
        <f>IF(D8=0,"",IF(D7=0,0,AA7))</f>
        <v/>
      </c>
      <c r="AC8" s="12">
        <f>IF(D8=0,"",IF(D7=0,0,Z7))</f>
        <v/>
      </c>
    </row>
    <row r="9">
      <c r="A9" s="5" t="n">
        <v>5</v>
      </c>
      <c r="B9" s="6" t="n"/>
      <c r="C9" s="6" t="n"/>
      <c r="D9" s="5">
        <f>IF(OR(B9&lt;&gt;"",C9&lt;&gt;""),1,0)</f>
        <v/>
      </c>
      <c r="E9" s="5">
        <f>IF(D9=0,0,IF(D8=0,1,E8+1))</f>
        <v/>
      </c>
      <c r="F9" s="7">
        <f>IF(D9=0,"",IF(D8=0,0,T8))</f>
        <v/>
      </c>
      <c r="G9" s="8">
        <f>IF(D9=0,"",IF(B9&lt;&gt;"",B9,IFERROR(INDEX(反算辅助!$DC$2:$DC$13,ROW()-4),"")))</f>
        <v/>
      </c>
      <c r="H9" s="7">
        <f>IF(ISNUMBER(G9),G9/(1+IF(G9&lt;100000,0,1%)),"")</f>
        <v/>
      </c>
      <c r="I9" s="7">
        <f>IF(ISNUMBER(G9),IF(H9&lt;100000,0,H9*1%),"")</f>
        <v/>
      </c>
      <c r="J9" s="7">
        <f>IF(ISNUMBER(G9),IF(H9&lt;100000,0,I9*2.5%),"")</f>
        <v/>
      </c>
      <c r="K9" s="7">
        <f>IF(ISNUMBER(G9),IF(H9&lt;100000,0,I9*1.5%),"")</f>
        <v/>
      </c>
      <c r="L9" s="7">
        <f>IF(ISNUMBER(G9),IF(H9&lt;100000,0,I9*1%),"")</f>
        <v/>
      </c>
      <c r="M9" s="7">
        <f>IF(ISNUMBER(G9),G9-I9,"")</f>
        <v/>
      </c>
      <c r="N9" s="7">
        <f>IF(D9=0,"",AA9*80%-5000*E9-Z9)</f>
        <v/>
      </c>
      <c r="O9" s="9">
        <f>IF(D9=0,"",IF(N9&lt;=36000,3%,IF(N9&lt;=144000,10%,IF(N9&lt;=300000,20%,IF(N9&lt;=420000,25%,IF(N9&lt;=660000,30%,IF(N9&lt;=960000,35%,45%)))))))</f>
        <v/>
      </c>
      <c r="P9" s="10">
        <f>IF(D9=0,"",IF(N9&lt;=36000,0,IF(N9&lt;=144000,2520,IF(N9&lt;=300000,16920,IF(N9&lt;=420000,31920,IF(N9&lt;=660000,52920,IF(N9&lt;=960000,85920,181920)))))))</f>
        <v/>
      </c>
      <c r="Q9" s="7">
        <f>IF(D9=0,"",MAX(0,N9*O9-P9-F9))</f>
        <v/>
      </c>
      <c r="R9" s="7">
        <f>IF(D9=0,"",I9+J9+K9+L9+Q9)</f>
        <v/>
      </c>
      <c r="S9" s="8">
        <f>IF(D9=0,"",G9-R9)</f>
        <v/>
      </c>
      <c r="T9" s="7">
        <f>IF(D9=0,"",F9+Q9)</f>
        <v/>
      </c>
      <c r="U9" s="7">
        <f>IF(AND(C9&lt;&gt;"",B9=""),S9-C9,"")</f>
        <v/>
      </c>
      <c r="V9" s="11">
        <f>IF(AND(D9=1,ISNUMBER(G9)=FALSE),"反算失败，请检查输入",IF(AND(B9&lt;&gt;"",C9&lt;&gt;""),"已按含税金额优先",""))</f>
        <v/>
      </c>
      <c r="W9" s="12">
        <f>IF(ISNUMBER(G9),J9+K9+L9,"")</f>
        <v/>
      </c>
      <c r="X9" s="12">
        <f>IF(D9=0,"",IF(D8=0,G9,X8+G9))</f>
        <v/>
      </c>
      <c r="Y9" s="12">
        <f>IF(D9=0,"",IF(D8=0,I9,Y8+I9))</f>
        <v/>
      </c>
      <c r="Z9" s="12">
        <f>IF(D9=0,"",IF(D8=0,W9,Z8+W9))</f>
        <v/>
      </c>
      <c r="AA9" s="12">
        <f>IF(D9=0,"",X9-Y9)</f>
        <v/>
      </c>
      <c r="AB9" s="12">
        <f>IF(D9=0,"",IF(D8=0,0,AA8))</f>
        <v/>
      </c>
      <c r="AC9" s="12">
        <f>IF(D9=0,"",IF(D8=0,0,Z8))</f>
        <v/>
      </c>
    </row>
    <row r="10">
      <c r="A10" s="5" t="n">
        <v>6</v>
      </c>
      <c r="B10" s="6" t="n"/>
      <c r="C10" s="6" t="n"/>
      <c r="D10" s="5">
        <f>IF(OR(B10&lt;&gt;"",C10&lt;&gt;""),1,0)</f>
        <v/>
      </c>
      <c r="E10" s="5">
        <f>IF(D10=0,0,IF(D9=0,1,E9+1))</f>
        <v/>
      </c>
      <c r="F10" s="7">
        <f>IF(D10=0,"",IF(D9=0,0,T9))</f>
        <v/>
      </c>
      <c r="G10" s="8">
        <f>IF(D10=0,"",IF(B10&lt;&gt;"",B10,IFERROR(INDEX(反算辅助!$DC$2:$DC$13,ROW()-4),"")))</f>
        <v/>
      </c>
      <c r="H10" s="7">
        <f>IF(ISNUMBER(G10),G10/(1+IF(G10&lt;100000,0,1%)),"")</f>
        <v/>
      </c>
      <c r="I10" s="7">
        <f>IF(ISNUMBER(G10),IF(H10&lt;100000,0,H10*1%),"")</f>
        <v/>
      </c>
      <c r="J10" s="7">
        <f>IF(ISNUMBER(G10),IF(H10&lt;100000,0,I10*2.5%),"")</f>
        <v/>
      </c>
      <c r="K10" s="7">
        <f>IF(ISNUMBER(G10),IF(H10&lt;100000,0,I10*1.5%),"")</f>
        <v/>
      </c>
      <c r="L10" s="7">
        <f>IF(ISNUMBER(G10),IF(H10&lt;100000,0,I10*1%),"")</f>
        <v/>
      </c>
      <c r="M10" s="7">
        <f>IF(ISNUMBER(G10),G10-I10,"")</f>
        <v/>
      </c>
      <c r="N10" s="7">
        <f>IF(D10=0,"",AA10*80%-5000*E10-Z10)</f>
        <v/>
      </c>
      <c r="O10" s="9">
        <f>IF(D10=0,"",IF(N10&lt;=36000,3%,IF(N10&lt;=144000,10%,IF(N10&lt;=300000,20%,IF(N10&lt;=420000,25%,IF(N10&lt;=660000,30%,IF(N10&lt;=960000,35%,45%)))))))</f>
        <v/>
      </c>
      <c r="P10" s="10">
        <f>IF(D10=0,"",IF(N10&lt;=36000,0,IF(N10&lt;=144000,2520,IF(N10&lt;=300000,16920,IF(N10&lt;=420000,31920,IF(N10&lt;=660000,52920,IF(N10&lt;=960000,85920,181920)))))))</f>
        <v/>
      </c>
      <c r="Q10" s="7">
        <f>IF(D10=0,"",MAX(0,N10*O10-P10-F10))</f>
        <v/>
      </c>
      <c r="R10" s="7">
        <f>IF(D10=0,"",I10+J10+K10+L10+Q10)</f>
        <v/>
      </c>
      <c r="S10" s="8">
        <f>IF(D10=0,"",G10-R10)</f>
        <v/>
      </c>
      <c r="T10" s="7">
        <f>IF(D10=0,"",F10+Q10)</f>
        <v/>
      </c>
      <c r="U10" s="7">
        <f>IF(AND(C10&lt;&gt;"",B10=""),S10-C10,"")</f>
        <v/>
      </c>
      <c r="V10" s="11">
        <f>IF(AND(D10=1,ISNUMBER(G10)=FALSE),"反算失败，请检查输入",IF(AND(B10&lt;&gt;"",C10&lt;&gt;""),"已按含税金额优先",""))</f>
        <v/>
      </c>
      <c r="W10" s="12">
        <f>IF(ISNUMBER(G10),J10+K10+L10,"")</f>
        <v/>
      </c>
      <c r="X10" s="12">
        <f>IF(D10=0,"",IF(D9=0,G10,X9+G10))</f>
        <v/>
      </c>
      <c r="Y10" s="12">
        <f>IF(D10=0,"",IF(D9=0,I10,Y9+I10))</f>
        <v/>
      </c>
      <c r="Z10" s="12">
        <f>IF(D10=0,"",IF(D9=0,W10,Z9+W10))</f>
        <v/>
      </c>
      <c r="AA10" s="12">
        <f>IF(D10=0,"",X10-Y10)</f>
        <v/>
      </c>
      <c r="AB10" s="12">
        <f>IF(D10=0,"",IF(D9=0,0,AA9))</f>
        <v/>
      </c>
      <c r="AC10" s="12">
        <f>IF(D10=0,"",IF(D9=0,0,Z9))</f>
        <v/>
      </c>
    </row>
    <row r="11">
      <c r="A11" s="5" t="n">
        <v>7</v>
      </c>
      <c r="B11" s="6" t="n"/>
      <c r="C11" s="6" t="n"/>
      <c r="D11" s="5">
        <f>IF(OR(B11&lt;&gt;"",C11&lt;&gt;""),1,0)</f>
        <v/>
      </c>
      <c r="E11" s="5">
        <f>IF(D11=0,0,IF(D10=0,1,E10+1))</f>
        <v/>
      </c>
      <c r="F11" s="7">
        <f>IF(D11=0,"",IF(D10=0,0,T10))</f>
        <v/>
      </c>
      <c r="G11" s="8">
        <f>IF(D11=0,"",IF(B11&lt;&gt;"",B11,IFERROR(INDEX(反算辅助!$DC$2:$DC$13,ROW()-4),"")))</f>
        <v/>
      </c>
      <c r="H11" s="7">
        <f>IF(ISNUMBER(G11),G11/(1+IF(G11&lt;100000,0,1%)),"")</f>
        <v/>
      </c>
      <c r="I11" s="7">
        <f>IF(ISNUMBER(G11),IF(H11&lt;100000,0,H11*1%),"")</f>
        <v/>
      </c>
      <c r="J11" s="7">
        <f>IF(ISNUMBER(G11),IF(H11&lt;100000,0,I11*2.5%),"")</f>
        <v/>
      </c>
      <c r="K11" s="7">
        <f>IF(ISNUMBER(G11),IF(H11&lt;100000,0,I11*1.5%),"")</f>
        <v/>
      </c>
      <c r="L11" s="7">
        <f>IF(ISNUMBER(G11),IF(H11&lt;100000,0,I11*1%),"")</f>
        <v/>
      </c>
      <c r="M11" s="7">
        <f>IF(ISNUMBER(G11),G11-I11,"")</f>
        <v/>
      </c>
      <c r="N11" s="7">
        <f>IF(D11=0,"",AA11*80%-5000*E11-Z11)</f>
        <v/>
      </c>
      <c r="O11" s="9">
        <f>IF(D11=0,"",IF(N11&lt;=36000,3%,IF(N11&lt;=144000,10%,IF(N11&lt;=300000,20%,IF(N11&lt;=420000,25%,IF(N11&lt;=660000,30%,IF(N11&lt;=960000,35%,45%)))))))</f>
        <v/>
      </c>
      <c r="P11" s="10">
        <f>IF(D11=0,"",IF(N11&lt;=36000,0,IF(N11&lt;=144000,2520,IF(N11&lt;=300000,16920,IF(N11&lt;=420000,31920,IF(N11&lt;=660000,52920,IF(N11&lt;=960000,85920,181920)))))))</f>
        <v/>
      </c>
      <c r="Q11" s="7">
        <f>IF(D11=0,"",MAX(0,N11*O11-P11-F11))</f>
        <v/>
      </c>
      <c r="R11" s="7">
        <f>IF(D11=0,"",I11+J11+K11+L11+Q11)</f>
        <v/>
      </c>
      <c r="S11" s="8">
        <f>IF(D11=0,"",G11-R11)</f>
        <v/>
      </c>
      <c r="T11" s="7">
        <f>IF(D11=0,"",F11+Q11)</f>
        <v/>
      </c>
      <c r="U11" s="7">
        <f>IF(AND(C11&lt;&gt;"",B11=""),S11-C11,"")</f>
        <v/>
      </c>
      <c r="V11" s="11">
        <f>IF(AND(D11=1,ISNUMBER(G11)=FALSE),"反算失败，请检查输入",IF(AND(B11&lt;&gt;"",C11&lt;&gt;""),"已按含税金额优先",""))</f>
        <v/>
      </c>
      <c r="W11" s="12">
        <f>IF(ISNUMBER(G11),J11+K11+L11,"")</f>
        <v/>
      </c>
      <c r="X11" s="12">
        <f>IF(D11=0,"",IF(D10=0,G11,X10+G11))</f>
        <v/>
      </c>
      <c r="Y11" s="12">
        <f>IF(D11=0,"",IF(D10=0,I11,Y10+I11))</f>
        <v/>
      </c>
      <c r="Z11" s="12">
        <f>IF(D11=0,"",IF(D10=0,W11,Z10+W11))</f>
        <v/>
      </c>
      <c r="AA11" s="12">
        <f>IF(D11=0,"",X11-Y11)</f>
        <v/>
      </c>
      <c r="AB11" s="12">
        <f>IF(D11=0,"",IF(D10=0,0,AA10))</f>
        <v/>
      </c>
      <c r="AC11" s="12">
        <f>IF(D11=0,"",IF(D10=0,0,Z10))</f>
        <v/>
      </c>
    </row>
    <row r="12">
      <c r="A12" s="5" t="n">
        <v>8</v>
      </c>
      <c r="B12" s="6" t="n"/>
      <c r="C12" s="6" t="n"/>
      <c r="D12" s="5">
        <f>IF(OR(B12&lt;&gt;"",C12&lt;&gt;""),1,0)</f>
        <v/>
      </c>
      <c r="E12" s="5">
        <f>IF(D12=0,0,IF(D11=0,1,E11+1))</f>
        <v/>
      </c>
      <c r="F12" s="7">
        <f>IF(D12=0,"",IF(D11=0,0,T11))</f>
        <v/>
      </c>
      <c r="G12" s="8">
        <f>IF(D12=0,"",IF(B12&lt;&gt;"",B12,IFERROR(INDEX(反算辅助!$DC$2:$DC$13,ROW()-4),"")))</f>
        <v/>
      </c>
      <c r="H12" s="7">
        <f>IF(ISNUMBER(G12),G12/(1+IF(G12&lt;100000,0,1%)),"")</f>
        <v/>
      </c>
      <c r="I12" s="7">
        <f>IF(ISNUMBER(G12),IF(H12&lt;100000,0,H12*1%),"")</f>
        <v/>
      </c>
      <c r="J12" s="7">
        <f>IF(ISNUMBER(G12),IF(H12&lt;100000,0,I12*2.5%),"")</f>
        <v/>
      </c>
      <c r="K12" s="7">
        <f>IF(ISNUMBER(G12),IF(H12&lt;100000,0,I12*1.5%),"")</f>
        <v/>
      </c>
      <c r="L12" s="7">
        <f>IF(ISNUMBER(G12),IF(H12&lt;100000,0,I12*1%),"")</f>
        <v/>
      </c>
      <c r="M12" s="7">
        <f>IF(ISNUMBER(G12),G12-I12,"")</f>
        <v/>
      </c>
      <c r="N12" s="7">
        <f>IF(D12=0,"",AA12*80%-5000*E12-Z12)</f>
        <v/>
      </c>
      <c r="O12" s="9">
        <f>IF(D12=0,"",IF(N12&lt;=36000,3%,IF(N12&lt;=144000,10%,IF(N12&lt;=300000,20%,IF(N12&lt;=420000,25%,IF(N12&lt;=660000,30%,IF(N12&lt;=960000,35%,45%)))))))</f>
        <v/>
      </c>
      <c r="P12" s="10">
        <f>IF(D12=0,"",IF(N12&lt;=36000,0,IF(N12&lt;=144000,2520,IF(N12&lt;=300000,16920,IF(N12&lt;=420000,31920,IF(N12&lt;=660000,52920,IF(N12&lt;=960000,85920,181920)))))))</f>
        <v/>
      </c>
      <c r="Q12" s="7">
        <f>IF(D12=0,"",MAX(0,N12*O12-P12-F12))</f>
        <v/>
      </c>
      <c r="R12" s="7">
        <f>IF(D12=0,"",I12+J12+K12+L12+Q12)</f>
        <v/>
      </c>
      <c r="S12" s="8">
        <f>IF(D12=0,"",G12-R12)</f>
        <v/>
      </c>
      <c r="T12" s="7">
        <f>IF(D12=0,"",F12+Q12)</f>
        <v/>
      </c>
      <c r="U12" s="7">
        <f>IF(AND(C12&lt;&gt;"",B12=""),S12-C12,"")</f>
        <v/>
      </c>
      <c r="V12" s="11">
        <f>IF(AND(D12=1,ISNUMBER(G12)=FALSE),"反算失败，请检查输入",IF(AND(B12&lt;&gt;"",C12&lt;&gt;""),"已按含税金额优先",""))</f>
        <v/>
      </c>
      <c r="W12" s="12">
        <f>IF(ISNUMBER(G12),J12+K12+L12,"")</f>
        <v/>
      </c>
      <c r="X12" s="12">
        <f>IF(D12=0,"",IF(D11=0,G12,X11+G12))</f>
        <v/>
      </c>
      <c r="Y12" s="12">
        <f>IF(D12=0,"",IF(D11=0,I12,Y11+I12))</f>
        <v/>
      </c>
      <c r="Z12" s="12">
        <f>IF(D12=0,"",IF(D11=0,W12,Z11+W12))</f>
        <v/>
      </c>
      <c r="AA12" s="12">
        <f>IF(D12=0,"",X12-Y12)</f>
        <v/>
      </c>
      <c r="AB12" s="12">
        <f>IF(D12=0,"",IF(D11=0,0,AA11))</f>
        <v/>
      </c>
      <c r="AC12" s="12">
        <f>IF(D12=0,"",IF(D11=0,0,Z11))</f>
        <v/>
      </c>
    </row>
    <row r="13">
      <c r="A13" s="5" t="n">
        <v>9</v>
      </c>
      <c r="B13" s="6" t="n"/>
      <c r="C13" s="6" t="n"/>
      <c r="D13" s="5">
        <f>IF(OR(B13&lt;&gt;"",C13&lt;&gt;""),1,0)</f>
        <v/>
      </c>
      <c r="E13" s="5">
        <f>IF(D13=0,0,IF(D12=0,1,E12+1))</f>
        <v/>
      </c>
      <c r="F13" s="7">
        <f>IF(D13=0,"",IF(D12=0,0,T12))</f>
        <v/>
      </c>
      <c r="G13" s="8">
        <f>IF(D13=0,"",IF(B13&lt;&gt;"",B13,IFERROR(INDEX(反算辅助!$DC$2:$DC$13,ROW()-4),"")))</f>
        <v/>
      </c>
      <c r="H13" s="7">
        <f>IF(ISNUMBER(G13),G13/(1+IF(G13&lt;100000,0,1%)),"")</f>
        <v/>
      </c>
      <c r="I13" s="7">
        <f>IF(ISNUMBER(G13),IF(H13&lt;100000,0,H13*1%),"")</f>
        <v/>
      </c>
      <c r="J13" s="7">
        <f>IF(ISNUMBER(G13),IF(H13&lt;100000,0,I13*2.5%),"")</f>
        <v/>
      </c>
      <c r="K13" s="7">
        <f>IF(ISNUMBER(G13),IF(H13&lt;100000,0,I13*1.5%),"")</f>
        <v/>
      </c>
      <c r="L13" s="7">
        <f>IF(ISNUMBER(G13),IF(H13&lt;100000,0,I13*1%),"")</f>
        <v/>
      </c>
      <c r="M13" s="7">
        <f>IF(ISNUMBER(G13),G13-I13,"")</f>
        <v/>
      </c>
      <c r="N13" s="7">
        <f>IF(D13=0,"",AA13*80%-5000*E13-Z13)</f>
        <v/>
      </c>
      <c r="O13" s="9">
        <f>IF(D13=0,"",IF(N13&lt;=36000,3%,IF(N13&lt;=144000,10%,IF(N13&lt;=300000,20%,IF(N13&lt;=420000,25%,IF(N13&lt;=660000,30%,IF(N13&lt;=960000,35%,45%)))))))</f>
        <v/>
      </c>
      <c r="P13" s="10">
        <f>IF(D13=0,"",IF(N13&lt;=36000,0,IF(N13&lt;=144000,2520,IF(N13&lt;=300000,16920,IF(N13&lt;=420000,31920,IF(N13&lt;=660000,52920,IF(N13&lt;=960000,85920,181920)))))))</f>
        <v/>
      </c>
      <c r="Q13" s="7">
        <f>IF(D13=0,"",MAX(0,N13*O13-P13-F13))</f>
        <v/>
      </c>
      <c r="R13" s="7">
        <f>IF(D13=0,"",I13+J13+K13+L13+Q13)</f>
        <v/>
      </c>
      <c r="S13" s="8">
        <f>IF(D13=0,"",G13-R13)</f>
        <v/>
      </c>
      <c r="T13" s="7">
        <f>IF(D13=0,"",F13+Q13)</f>
        <v/>
      </c>
      <c r="U13" s="7">
        <f>IF(AND(C13&lt;&gt;"",B13=""),S13-C13,"")</f>
        <v/>
      </c>
      <c r="V13" s="11">
        <f>IF(AND(D13=1,ISNUMBER(G13)=FALSE),"反算失败，请检查输入",IF(AND(B13&lt;&gt;"",C13&lt;&gt;""),"已按含税金额优先",""))</f>
        <v/>
      </c>
      <c r="W13" s="12">
        <f>IF(ISNUMBER(G13),J13+K13+L13,"")</f>
        <v/>
      </c>
      <c r="X13" s="12">
        <f>IF(D13=0,"",IF(D12=0,G13,X12+G13))</f>
        <v/>
      </c>
      <c r="Y13" s="12">
        <f>IF(D13=0,"",IF(D12=0,I13,Y12+I13))</f>
        <v/>
      </c>
      <c r="Z13" s="12">
        <f>IF(D13=0,"",IF(D12=0,W13,Z12+W13))</f>
        <v/>
      </c>
      <c r="AA13" s="12">
        <f>IF(D13=0,"",X13-Y13)</f>
        <v/>
      </c>
      <c r="AB13" s="12">
        <f>IF(D13=0,"",IF(D12=0,0,AA12))</f>
        <v/>
      </c>
      <c r="AC13" s="12">
        <f>IF(D13=0,"",IF(D12=0,0,Z12))</f>
        <v/>
      </c>
    </row>
    <row r="14">
      <c r="A14" s="5" t="n">
        <v>10</v>
      </c>
      <c r="B14" s="6" t="n"/>
      <c r="C14" s="6" t="n"/>
      <c r="D14" s="5">
        <f>IF(OR(B14&lt;&gt;"",C14&lt;&gt;""),1,0)</f>
        <v/>
      </c>
      <c r="E14" s="5">
        <f>IF(D14=0,0,IF(D13=0,1,E13+1))</f>
        <v/>
      </c>
      <c r="F14" s="7">
        <f>IF(D14=0,"",IF(D13=0,0,T13))</f>
        <v/>
      </c>
      <c r="G14" s="8">
        <f>IF(D14=0,"",IF(B14&lt;&gt;"",B14,IFERROR(INDEX(反算辅助!$DC$2:$DC$13,ROW()-4),"")))</f>
        <v/>
      </c>
      <c r="H14" s="7">
        <f>IF(ISNUMBER(G14),G14/(1+IF(G14&lt;100000,0,1%)),"")</f>
        <v/>
      </c>
      <c r="I14" s="7">
        <f>IF(ISNUMBER(G14),IF(H14&lt;100000,0,H14*1%),"")</f>
        <v/>
      </c>
      <c r="J14" s="7">
        <f>IF(ISNUMBER(G14),IF(H14&lt;100000,0,I14*2.5%),"")</f>
        <v/>
      </c>
      <c r="K14" s="7">
        <f>IF(ISNUMBER(G14),IF(H14&lt;100000,0,I14*1.5%),"")</f>
        <v/>
      </c>
      <c r="L14" s="7">
        <f>IF(ISNUMBER(G14),IF(H14&lt;100000,0,I14*1%),"")</f>
        <v/>
      </c>
      <c r="M14" s="7">
        <f>IF(ISNUMBER(G14),G14-I14,"")</f>
        <v/>
      </c>
      <c r="N14" s="7">
        <f>IF(D14=0,"",AA14*80%-5000*E14-Z14)</f>
        <v/>
      </c>
      <c r="O14" s="9">
        <f>IF(D14=0,"",IF(N14&lt;=36000,3%,IF(N14&lt;=144000,10%,IF(N14&lt;=300000,20%,IF(N14&lt;=420000,25%,IF(N14&lt;=660000,30%,IF(N14&lt;=960000,35%,45%)))))))</f>
        <v/>
      </c>
      <c r="P14" s="10">
        <f>IF(D14=0,"",IF(N14&lt;=36000,0,IF(N14&lt;=144000,2520,IF(N14&lt;=300000,16920,IF(N14&lt;=420000,31920,IF(N14&lt;=660000,52920,IF(N14&lt;=960000,85920,181920)))))))</f>
        <v/>
      </c>
      <c r="Q14" s="7">
        <f>IF(D14=0,"",MAX(0,N14*O14-P14-F14))</f>
        <v/>
      </c>
      <c r="R14" s="7">
        <f>IF(D14=0,"",I14+J14+K14+L14+Q14)</f>
        <v/>
      </c>
      <c r="S14" s="8">
        <f>IF(D14=0,"",G14-R14)</f>
        <v/>
      </c>
      <c r="T14" s="7">
        <f>IF(D14=0,"",F14+Q14)</f>
        <v/>
      </c>
      <c r="U14" s="7">
        <f>IF(AND(C14&lt;&gt;"",B14=""),S14-C14,"")</f>
        <v/>
      </c>
      <c r="V14" s="11">
        <f>IF(AND(D14=1,ISNUMBER(G14)=FALSE),"反算失败，请检查输入",IF(AND(B14&lt;&gt;"",C14&lt;&gt;""),"已按含税金额优先",""))</f>
        <v/>
      </c>
      <c r="W14" s="12">
        <f>IF(ISNUMBER(G14),J14+K14+L14,"")</f>
        <v/>
      </c>
      <c r="X14" s="12">
        <f>IF(D14=0,"",IF(D13=0,G14,X13+G14))</f>
        <v/>
      </c>
      <c r="Y14" s="12">
        <f>IF(D14=0,"",IF(D13=0,I14,Y13+I14))</f>
        <v/>
      </c>
      <c r="Z14" s="12">
        <f>IF(D14=0,"",IF(D13=0,W14,Z13+W14))</f>
        <v/>
      </c>
      <c r="AA14" s="12">
        <f>IF(D14=0,"",X14-Y14)</f>
        <v/>
      </c>
      <c r="AB14" s="12">
        <f>IF(D14=0,"",IF(D13=0,0,AA13))</f>
        <v/>
      </c>
      <c r="AC14" s="12">
        <f>IF(D14=0,"",IF(D13=0,0,Z13))</f>
        <v/>
      </c>
    </row>
    <row r="15">
      <c r="A15" s="5" t="n">
        <v>11</v>
      </c>
      <c r="B15" s="6" t="n"/>
      <c r="C15" s="6" t="n"/>
      <c r="D15" s="5">
        <f>IF(OR(B15&lt;&gt;"",C15&lt;&gt;""),1,0)</f>
        <v/>
      </c>
      <c r="E15" s="5">
        <f>IF(D15=0,0,IF(D14=0,1,E14+1))</f>
        <v/>
      </c>
      <c r="F15" s="7">
        <f>IF(D15=0,"",IF(D14=0,0,T14))</f>
        <v/>
      </c>
      <c r="G15" s="8">
        <f>IF(D15=0,"",IF(B15&lt;&gt;"",B15,IFERROR(INDEX(反算辅助!$DC$2:$DC$13,ROW()-4),"")))</f>
        <v/>
      </c>
      <c r="H15" s="7">
        <f>IF(ISNUMBER(G15),G15/(1+IF(G15&lt;100000,0,1%)),"")</f>
        <v/>
      </c>
      <c r="I15" s="7">
        <f>IF(ISNUMBER(G15),IF(H15&lt;100000,0,H15*1%),"")</f>
        <v/>
      </c>
      <c r="J15" s="7">
        <f>IF(ISNUMBER(G15),IF(H15&lt;100000,0,I15*2.5%),"")</f>
        <v/>
      </c>
      <c r="K15" s="7">
        <f>IF(ISNUMBER(G15),IF(H15&lt;100000,0,I15*1.5%),"")</f>
        <v/>
      </c>
      <c r="L15" s="7">
        <f>IF(ISNUMBER(G15),IF(H15&lt;100000,0,I15*1%),"")</f>
        <v/>
      </c>
      <c r="M15" s="7">
        <f>IF(ISNUMBER(G15),G15-I15,"")</f>
        <v/>
      </c>
      <c r="N15" s="7">
        <f>IF(D15=0,"",AA15*80%-5000*E15-Z15)</f>
        <v/>
      </c>
      <c r="O15" s="9">
        <f>IF(D15=0,"",IF(N15&lt;=36000,3%,IF(N15&lt;=144000,10%,IF(N15&lt;=300000,20%,IF(N15&lt;=420000,25%,IF(N15&lt;=660000,30%,IF(N15&lt;=960000,35%,45%)))))))</f>
        <v/>
      </c>
      <c r="P15" s="10">
        <f>IF(D15=0,"",IF(N15&lt;=36000,0,IF(N15&lt;=144000,2520,IF(N15&lt;=300000,16920,IF(N15&lt;=420000,31920,IF(N15&lt;=660000,52920,IF(N15&lt;=960000,85920,181920)))))))</f>
        <v/>
      </c>
      <c r="Q15" s="7">
        <f>IF(D15=0,"",MAX(0,N15*O15-P15-F15))</f>
        <v/>
      </c>
      <c r="R15" s="7">
        <f>IF(D15=0,"",I15+J15+K15+L15+Q15)</f>
        <v/>
      </c>
      <c r="S15" s="8">
        <f>IF(D15=0,"",G15-R15)</f>
        <v/>
      </c>
      <c r="T15" s="7">
        <f>IF(D15=0,"",F15+Q15)</f>
        <v/>
      </c>
      <c r="U15" s="7">
        <f>IF(AND(C15&lt;&gt;"",B15=""),S15-C15,"")</f>
        <v/>
      </c>
      <c r="V15" s="11">
        <f>IF(AND(D15=1,ISNUMBER(G15)=FALSE),"反算失败，请检查输入",IF(AND(B15&lt;&gt;"",C15&lt;&gt;""),"已按含税金额优先",""))</f>
        <v/>
      </c>
      <c r="W15" s="12">
        <f>IF(ISNUMBER(G15),J15+K15+L15,"")</f>
        <v/>
      </c>
      <c r="X15" s="12">
        <f>IF(D15=0,"",IF(D14=0,G15,X14+G15))</f>
        <v/>
      </c>
      <c r="Y15" s="12">
        <f>IF(D15=0,"",IF(D14=0,I15,Y14+I15))</f>
        <v/>
      </c>
      <c r="Z15" s="12">
        <f>IF(D15=0,"",IF(D14=0,W15,Z14+W15))</f>
        <v/>
      </c>
      <c r="AA15" s="12">
        <f>IF(D15=0,"",X15-Y15)</f>
        <v/>
      </c>
      <c r="AB15" s="12">
        <f>IF(D15=0,"",IF(D14=0,0,AA14))</f>
        <v/>
      </c>
      <c r="AC15" s="12">
        <f>IF(D15=0,"",IF(D14=0,0,Z14))</f>
        <v/>
      </c>
    </row>
    <row r="16">
      <c r="A16" s="5" t="n">
        <v>12</v>
      </c>
      <c r="B16" s="6" t="n"/>
      <c r="C16" s="6" t="n"/>
      <c r="D16" s="5">
        <f>IF(OR(B16&lt;&gt;"",C16&lt;&gt;""),1,0)</f>
        <v/>
      </c>
      <c r="E16" s="5">
        <f>IF(D16=0,0,IF(D15=0,1,E15+1))</f>
        <v/>
      </c>
      <c r="F16" s="7">
        <f>IF(D16=0,"",IF(D15=0,0,T15))</f>
        <v/>
      </c>
      <c r="G16" s="8">
        <f>IF(D16=0,"",IF(B16&lt;&gt;"",B16,IFERROR(INDEX(反算辅助!$DC$2:$DC$13,ROW()-4),"")))</f>
        <v/>
      </c>
      <c r="H16" s="7">
        <f>IF(ISNUMBER(G16),G16/(1+IF(G16&lt;100000,0,1%)),"")</f>
        <v/>
      </c>
      <c r="I16" s="7">
        <f>IF(ISNUMBER(G16),IF(H16&lt;100000,0,H16*1%),"")</f>
        <v/>
      </c>
      <c r="J16" s="7">
        <f>IF(ISNUMBER(G16),IF(H16&lt;100000,0,I16*2.5%),"")</f>
        <v/>
      </c>
      <c r="K16" s="7">
        <f>IF(ISNUMBER(G16),IF(H16&lt;100000,0,I16*1.5%),"")</f>
        <v/>
      </c>
      <c r="L16" s="7">
        <f>IF(ISNUMBER(G16),IF(H16&lt;100000,0,I16*1%),"")</f>
        <v/>
      </c>
      <c r="M16" s="7">
        <f>IF(ISNUMBER(G16),G16-I16,"")</f>
        <v/>
      </c>
      <c r="N16" s="7">
        <f>IF(D16=0,"",AA16*80%-5000*E16-Z16)</f>
        <v/>
      </c>
      <c r="O16" s="9">
        <f>IF(D16=0,"",IF(N16&lt;=36000,3%,IF(N16&lt;=144000,10%,IF(N16&lt;=300000,20%,IF(N16&lt;=420000,25%,IF(N16&lt;=660000,30%,IF(N16&lt;=960000,35%,45%)))))))</f>
        <v/>
      </c>
      <c r="P16" s="10">
        <f>IF(D16=0,"",IF(N16&lt;=36000,0,IF(N16&lt;=144000,2520,IF(N16&lt;=300000,16920,IF(N16&lt;=420000,31920,IF(N16&lt;=660000,52920,IF(N16&lt;=960000,85920,181920)))))))</f>
        <v/>
      </c>
      <c r="Q16" s="7">
        <f>IF(D16=0,"",MAX(0,N16*O16-P16-F16))</f>
        <v/>
      </c>
      <c r="R16" s="7">
        <f>IF(D16=0,"",I16+J16+K16+L16+Q16)</f>
        <v/>
      </c>
      <c r="S16" s="8">
        <f>IF(D16=0,"",G16-R16)</f>
        <v/>
      </c>
      <c r="T16" s="7">
        <f>IF(D16=0,"",F16+Q16)</f>
        <v/>
      </c>
      <c r="U16" s="7">
        <f>IF(AND(C16&lt;&gt;"",B16=""),S16-C16,"")</f>
        <v/>
      </c>
      <c r="V16" s="11">
        <f>IF(AND(D16=1,ISNUMBER(G16)=FALSE),"反算失败，请检查输入",IF(AND(B16&lt;&gt;"",C16&lt;&gt;""),"已按含税金额优先",""))</f>
        <v/>
      </c>
      <c r="W16" s="12">
        <f>IF(ISNUMBER(G16),J16+K16+L16,"")</f>
        <v/>
      </c>
      <c r="X16" s="12">
        <f>IF(D16=0,"",IF(D15=0,G16,X15+G16))</f>
        <v/>
      </c>
      <c r="Y16" s="12">
        <f>IF(D16=0,"",IF(D15=0,I16,Y15+I16))</f>
        <v/>
      </c>
      <c r="Z16" s="12">
        <f>IF(D16=0,"",IF(D15=0,W16,Z15+W16))</f>
        <v/>
      </c>
      <c r="AA16" s="12">
        <f>IF(D16=0,"",X16-Y16)</f>
        <v/>
      </c>
      <c r="AB16" s="12">
        <f>IF(D16=0,"",IF(D15=0,0,AA15))</f>
        <v/>
      </c>
      <c r="AC16" s="12">
        <f>IF(D16=0,"",IF(D15=0,0,Z15))</f>
        <v/>
      </c>
    </row>
  </sheetData>
  <mergeCells count="2">
    <mergeCell ref="A2:V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</cols>
  <sheetData>
    <row r="1">
      <c r="A1" s="13" t="inlineStr">
        <is>
          <t>月份</t>
        </is>
      </c>
      <c r="B1" s="13" t="inlineStr">
        <is>
          <t>目标实发</t>
        </is>
      </c>
      <c r="C1" s="13" t="inlineStr">
        <is>
          <t>是否有收入</t>
        </is>
      </c>
      <c r="D1" s="13" t="inlineStr">
        <is>
          <t>输入含税</t>
        </is>
      </c>
      <c r="E1" s="13" t="inlineStr">
        <is>
          <t>连续月数</t>
        </is>
      </c>
      <c r="F1" s="13" t="inlineStr">
        <is>
          <t>累计已预扣个税</t>
        </is>
      </c>
      <c r="G1" s="13" t="inlineStr">
        <is>
          <t>上月累计收入</t>
        </is>
      </c>
      <c r="H1" s="13" t="inlineStr">
        <is>
          <t>上月累计附加</t>
        </is>
      </c>
      <c r="I1" s="13" t="inlineStr">
        <is>
          <t>K常数</t>
        </is>
      </c>
      <c r="J1" s="13" t="inlineStr">
        <is>
          <t>无增值税/PIT=0</t>
        </is>
      </c>
      <c r="K1" s="13" t="inlineStr">
        <is>
          <t>有增值税/PIT=0</t>
        </is>
      </c>
      <c r="L1" s="13" t="inlineStr">
        <is>
          <t>无增值税/3%</t>
        </is>
      </c>
      <c r="M1" s="13" t="inlineStr">
        <is>
          <t>无增值税/10%</t>
        </is>
      </c>
      <c r="N1" s="13" t="inlineStr">
        <is>
          <t>无增值税/20%</t>
        </is>
      </c>
      <c r="O1" s="13" t="inlineStr">
        <is>
          <t>无增值税/25%</t>
        </is>
      </c>
      <c r="P1" s="13" t="inlineStr">
        <is>
          <t>无增值税/30%</t>
        </is>
      </c>
      <c r="Q1" s="13" t="inlineStr">
        <is>
          <t>无增值税/35%</t>
        </is>
      </c>
      <c r="R1" s="13" t="inlineStr">
        <is>
          <t>无增值税/45%</t>
        </is>
      </c>
      <c r="S1" s="13" t="inlineStr">
        <is>
          <t>有增值税/3%</t>
        </is>
      </c>
      <c r="T1" s="13" t="inlineStr">
        <is>
          <t>有增值税/10%</t>
        </is>
      </c>
      <c r="U1" s="13" t="inlineStr">
        <is>
          <t>有增值税/20%</t>
        </is>
      </c>
      <c r="V1" s="13" t="inlineStr">
        <is>
          <t>有增值税/25%</t>
        </is>
      </c>
      <c r="W1" s="13" t="inlineStr">
        <is>
          <t>有增值税/30%</t>
        </is>
      </c>
      <c r="X1" s="13" t="inlineStr">
        <is>
          <t>有增值税/35%</t>
        </is>
      </c>
      <c r="Y1" s="13" t="inlineStr">
        <is>
          <t>有增值税/45%</t>
        </is>
      </c>
      <c r="Z1" s="13" t="inlineStr">
        <is>
          <t>TC1</t>
        </is>
      </c>
      <c r="AA1" s="13" t="inlineStr">
        <is>
          <t>TC2</t>
        </is>
      </c>
      <c r="AB1" s="13" t="inlineStr">
        <is>
          <t>TC3</t>
        </is>
      </c>
      <c r="AC1" s="13" t="inlineStr">
        <is>
          <t>TC4</t>
        </is>
      </c>
      <c r="AD1" s="13" t="inlineStr">
        <is>
          <t>TC5</t>
        </is>
      </c>
      <c r="AE1" s="13" t="inlineStr">
        <is>
          <t>TC6</t>
        </is>
      </c>
      <c r="AF1" s="13" t="inlineStr">
        <is>
          <t>TC7</t>
        </is>
      </c>
      <c r="AG1" s="13" t="inlineStr">
        <is>
          <t>TC8</t>
        </is>
      </c>
      <c r="AH1" s="13" t="inlineStr">
        <is>
          <t>TC9</t>
        </is>
      </c>
      <c r="AI1" s="13" t="inlineStr">
        <is>
          <t>TC10</t>
        </is>
      </c>
      <c r="AJ1" s="13" t="inlineStr">
        <is>
          <t>TC11</t>
        </is>
      </c>
      <c r="AK1" s="13" t="inlineStr">
        <is>
          <t>TC12</t>
        </is>
      </c>
      <c r="AL1" s="13" t="inlineStr">
        <is>
          <t>TC13</t>
        </is>
      </c>
      <c r="AM1" s="13" t="inlineStr">
        <is>
          <t>TC14</t>
        </is>
      </c>
      <c r="AN1" s="13" t="inlineStr">
        <is>
          <t>TC15</t>
        </is>
      </c>
      <c r="AO1" s="13" t="inlineStr">
        <is>
          <t>TC16</t>
        </is>
      </c>
      <c r="AP1" s="13" t="inlineStr">
        <is>
          <t>PIT1</t>
        </is>
      </c>
      <c r="AQ1" s="13" t="inlineStr">
        <is>
          <t>PIT2</t>
        </is>
      </c>
      <c r="AR1" s="13" t="inlineStr">
        <is>
          <t>PIT3</t>
        </is>
      </c>
      <c r="AS1" s="13" t="inlineStr">
        <is>
          <t>PIT4</t>
        </is>
      </c>
      <c r="AT1" s="13" t="inlineStr">
        <is>
          <t>PIT5</t>
        </is>
      </c>
      <c r="AU1" s="13" t="inlineStr">
        <is>
          <t>PIT6</t>
        </is>
      </c>
      <c r="AV1" s="13" t="inlineStr">
        <is>
          <t>PIT7</t>
        </is>
      </c>
      <c r="AW1" s="13" t="inlineStr">
        <is>
          <t>PIT8</t>
        </is>
      </c>
      <c r="AX1" s="13" t="inlineStr">
        <is>
          <t>PIT9</t>
        </is>
      </c>
      <c r="AY1" s="13" t="inlineStr">
        <is>
          <t>PIT10</t>
        </is>
      </c>
      <c r="AZ1" s="13" t="inlineStr">
        <is>
          <t>PIT11</t>
        </is>
      </c>
      <c r="BA1" s="13" t="inlineStr">
        <is>
          <t>PIT12</t>
        </is>
      </c>
      <c r="BB1" s="13" t="inlineStr">
        <is>
          <t>PIT13</t>
        </is>
      </c>
      <c r="BC1" s="13" t="inlineStr">
        <is>
          <t>PIT14</t>
        </is>
      </c>
      <c r="BD1" s="13" t="inlineStr">
        <is>
          <t>PIT15</t>
        </is>
      </c>
      <c r="BE1" s="13" t="inlineStr">
        <is>
          <t>PIT16</t>
        </is>
      </c>
      <c r="BF1" s="13" t="inlineStr">
        <is>
          <t>NET1</t>
        </is>
      </c>
      <c r="BG1" s="13" t="inlineStr">
        <is>
          <t>NET2</t>
        </is>
      </c>
      <c r="BH1" s="13" t="inlineStr">
        <is>
          <t>NET3</t>
        </is>
      </c>
      <c r="BI1" s="13" t="inlineStr">
        <is>
          <t>NET4</t>
        </is>
      </c>
      <c r="BJ1" s="13" t="inlineStr">
        <is>
          <t>NET5</t>
        </is>
      </c>
      <c r="BK1" s="13" t="inlineStr">
        <is>
          <t>NET6</t>
        </is>
      </c>
      <c r="BL1" s="13" t="inlineStr">
        <is>
          <t>NET7</t>
        </is>
      </c>
      <c r="BM1" s="13" t="inlineStr">
        <is>
          <t>NET8</t>
        </is>
      </c>
      <c r="BN1" s="13" t="inlineStr">
        <is>
          <t>NET9</t>
        </is>
      </c>
      <c r="BO1" s="13" t="inlineStr">
        <is>
          <t>NET10</t>
        </is>
      </c>
      <c r="BP1" s="13" t="inlineStr">
        <is>
          <t>NET11</t>
        </is>
      </c>
      <c r="BQ1" s="13" t="inlineStr">
        <is>
          <t>NET12</t>
        </is>
      </c>
      <c r="BR1" s="13" t="inlineStr">
        <is>
          <t>NET13</t>
        </is>
      </c>
      <c r="BS1" s="13" t="inlineStr">
        <is>
          <t>NET14</t>
        </is>
      </c>
      <c r="BT1" s="13" t="inlineStr">
        <is>
          <t>NET15</t>
        </is>
      </c>
      <c r="BU1" s="13" t="inlineStr">
        <is>
          <t>NET16</t>
        </is>
      </c>
      <c r="BV1" s="13" t="inlineStr">
        <is>
          <t>ERR1</t>
        </is>
      </c>
      <c r="BW1" s="13" t="inlineStr">
        <is>
          <t>ERR2</t>
        </is>
      </c>
      <c r="BX1" s="13" t="inlineStr">
        <is>
          <t>ERR3</t>
        </is>
      </c>
      <c r="BY1" s="13" t="inlineStr">
        <is>
          <t>ERR4</t>
        </is>
      </c>
      <c r="BZ1" s="13" t="inlineStr">
        <is>
          <t>ERR5</t>
        </is>
      </c>
      <c r="CA1" s="13" t="inlineStr">
        <is>
          <t>ERR6</t>
        </is>
      </c>
      <c r="CB1" s="13" t="inlineStr">
        <is>
          <t>ERR7</t>
        </is>
      </c>
      <c r="CC1" s="13" t="inlineStr">
        <is>
          <t>ERR8</t>
        </is>
      </c>
      <c r="CD1" s="13" t="inlineStr">
        <is>
          <t>ERR9</t>
        </is>
      </c>
      <c r="CE1" s="13" t="inlineStr">
        <is>
          <t>ERR10</t>
        </is>
      </c>
      <c r="CF1" s="13" t="inlineStr">
        <is>
          <t>ERR11</t>
        </is>
      </c>
      <c r="CG1" s="13" t="inlineStr">
        <is>
          <t>ERR12</t>
        </is>
      </c>
      <c r="CH1" s="13" t="inlineStr">
        <is>
          <t>ERR13</t>
        </is>
      </c>
      <c r="CI1" s="13" t="inlineStr">
        <is>
          <t>ERR14</t>
        </is>
      </c>
      <c r="CJ1" s="13" t="inlineStr">
        <is>
          <t>ERR15</t>
        </is>
      </c>
      <c r="CK1" s="13" t="inlineStr">
        <is>
          <t>ERR16</t>
        </is>
      </c>
      <c r="CL1" s="13" t="inlineStr">
        <is>
          <t>VALID1</t>
        </is>
      </c>
      <c r="CM1" s="13" t="inlineStr">
        <is>
          <t>VALID2</t>
        </is>
      </c>
      <c r="CN1" s="13" t="inlineStr">
        <is>
          <t>VALID3</t>
        </is>
      </c>
      <c r="CO1" s="13" t="inlineStr">
        <is>
          <t>VALID4</t>
        </is>
      </c>
      <c r="CP1" s="13" t="inlineStr">
        <is>
          <t>VALID5</t>
        </is>
      </c>
      <c r="CQ1" s="13" t="inlineStr">
        <is>
          <t>VALID6</t>
        </is>
      </c>
      <c r="CR1" s="13" t="inlineStr">
        <is>
          <t>VALID7</t>
        </is>
      </c>
      <c r="CS1" s="13" t="inlineStr">
        <is>
          <t>VALID8</t>
        </is>
      </c>
      <c r="CT1" s="13" t="inlineStr">
        <is>
          <t>VALID9</t>
        </is>
      </c>
      <c r="CU1" s="13" t="inlineStr">
        <is>
          <t>VALID10</t>
        </is>
      </c>
      <c r="CV1" s="13" t="inlineStr">
        <is>
          <t>VALID11</t>
        </is>
      </c>
      <c r="CW1" s="13" t="inlineStr">
        <is>
          <t>VALID12</t>
        </is>
      </c>
      <c r="CX1" s="13" t="inlineStr">
        <is>
          <t>VALID13</t>
        </is>
      </c>
      <c r="CY1" s="13" t="inlineStr">
        <is>
          <t>VALID14</t>
        </is>
      </c>
      <c r="CZ1" s="13" t="inlineStr">
        <is>
          <t>VALID15</t>
        </is>
      </c>
      <c r="DA1" s="13" t="inlineStr">
        <is>
          <t>VALID16</t>
        </is>
      </c>
      <c r="DB1" s="13" t="inlineStr">
        <is>
          <t>命中序号</t>
        </is>
      </c>
      <c r="DC1" s="13" t="inlineStr">
        <is>
          <t>反算含税</t>
        </is>
      </c>
      <c r="DD1" s="13" t="inlineStr">
        <is>
          <t>回算实发</t>
        </is>
      </c>
    </row>
    <row r="2">
      <c r="A2" s="14" t="n">
        <v>1</v>
      </c>
      <c r="B2" s="15">
        <f>'月度计算'!C5</f>
        <v/>
      </c>
      <c r="C2" s="14">
        <f>'月度计算'!D5</f>
        <v/>
      </c>
      <c r="D2" s="15">
        <f>'月度计算'!B5</f>
        <v/>
      </c>
      <c r="E2" s="14">
        <f>'月度计算'!E5</f>
        <v/>
      </c>
      <c r="F2" s="15">
        <f>'月度计算'!F5</f>
        <v/>
      </c>
      <c r="G2" s="15">
        <f>'月度计算'!AB5</f>
        <v/>
      </c>
      <c r="H2" s="15">
        <f>'月度计算'!AC5</f>
        <v/>
      </c>
      <c r="I2" s="15">
        <f>IF(C2=0,"",G2*80%-5000*E2-H2)</f>
        <v/>
      </c>
      <c r="J2" s="15">
        <f>IF(OR($C2=0,$B2="",$D2&lt;&gt;""),"",$B2/(1-(0)))</f>
        <v/>
      </c>
      <c r="K2" s="15">
        <f>IF(OR($C2=0,$B2="",$D2&lt;&gt;""),"",$B2/(1-(21/2020)))</f>
        <v/>
      </c>
      <c r="L2" s="15">
        <f>IF(OR($C2=0,$B2="",$D2&lt;&gt;""),"",($B2-0-$F2+$I2*0.03)/(1-(0)-(0.8)*0.03))</f>
        <v/>
      </c>
      <c r="M2" s="15">
        <f>IF(OR($C2=0,$B2="",$D2&lt;&gt;""),"",($B2-2520-$F2+$I2*0.1)/(1-(0)-(0.8)*0.1))</f>
        <v/>
      </c>
      <c r="N2" s="15">
        <f>IF(OR($C2=0,$B2="",$D2&lt;&gt;""),"",($B2-16920-$F2+$I2*0.2)/(1-(0)-(0.8)*0.2))</f>
        <v/>
      </c>
      <c r="O2" s="15">
        <f>IF(OR($C2=0,$B2="",$D2&lt;&gt;""),"",($B2-31920-$F2+$I2*0.25)/(1-(0)-(0.8)*0.25))</f>
        <v/>
      </c>
      <c r="P2" s="15">
        <f>IF(OR($C2=0,$B2="",$D2&lt;&gt;""),"",($B2-52920-$F2+$I2*0.3)/(1-(0)-(0.8)*0.3))</f>
        <v/>
      </c>
      <c r="Q2" s="15">
        <f>IF(OR($C2=0,$B2="",$D2&lt;&gt;""),"",($B2-85920-$F2+$I2*0.35)/(1-(0)-(0.8)*0.35))</f>
        <v/>
      </c>
      <c r="R2" s="15">
        <f>IF(OR($C2=0,$B2="",$D2&lt;&gt;""),"",($B2-181920-$F2+$I2*0.45)/(1-(0)-(0.8)*0.45))</f>
        <v/>
      </c>
      <c r="S2" s="15">
        <f>IF(OR($C2=0,$B2="",$D2&lt;&gt;""),"",($B2-0-$F2+$I2*0.03)/(1-(21/2020)-(1599/2020)*0.03))</f>
        <v/>
      </c>
      <c r="T2" s="15">
        <f>IF(OR($C2=0,$B2="",$D2&lt;&gt;""),"",($B2-2520-$F2+$I2*0.1)/(1-(21/2020)-(1599/2020)*0.1))</f>
        <v/>
      </c>
      <c r="U2" s="15">
        <f>IF(OR($C2=0,$B2="",$D2&lt;&gt;""),"",($B2-16920-$F2+$I2*0.2)/(1-(21/2020)-(1599/2020)*0.2))</f>
        <v/>
      </c>
      <c r="V2" s="15">
        <f>IF(OR($C2=0,$B2="",$D2&lt;&gt;""),"",($B2-31920-$F2+$I2*0.25)/(1-(21/2020)-(1599/2020)*0.25))</f>
        <v/>
      </c>
      <c r="W2" s="15">
        <f>IF(OR($C2=0,$B2="",$D2&lt;&gt;""),"",($B2-52920-$F2+$I2*0.3)/(1-(21/2020)-(1599/2020)*0.3))</f>
        <v/>
      </c>
      <c r="X2" s="15">
        <f>IF(OR($C2=0,$B2="",$D2&lt;&gt;""),"",($B2-85920-$F2+$I2*0.35)/(1-(21/2020)-(1599/2020)*0.35))</f>
        <v/>
      </c>
      <c r="Y2" s="15">
        <f>IF(OR($C2=0,$B2="",$D2&lt;&gt;""),"",($B2-181920-$F2+$I2*0.45)/(1-(21/2020)-(1599/2020)*0.45))</f>
        <v/>
      </c>
      <c r="Z2" s="15">
        <f>IF(J2="","",($G2+J2-(IF(J2/(1+IF(J2&lt;100000,0,1%))&lt;100000,0,J2/(1+IF(J2&lt;100000,0,1%))*1%)))*80%-5000*$E2-($H2+(IF(J2/(1+IF(J2&lt;100000,0,1%))&lt;100000,0,J2/(1+IF(J2&lt;100000,0,1%))*1%*5%))))</f>
        <v/>
      </c>
      <c r="AA2" s="15">
        <f>IF(K2="","",($G2+K2-(IF(K2/(1+IF(K2&lt;100000,0,1%))&lt;100000,0,K2/(1+IF(K2&lt;100000,0,1%))*1%)))*80%-5000*$E2-($H2+(IF(K2/(1+IF(K2&lt;100000,0,1%))&lt;100000,0,K2/(1+IF(K2&lt;100000,0,1%))*1%*5%))))</f>
        <v/>
      </c>
      <c r="AB2" s="15">
        <f>IF(L2="","",($G2+L2-(IF(L2/(1+IF(L2&lt;100000,0,1%))&lt;100000,0,L2/(1+IF(L2&lt;100000,0,1%))*1%)))*80%-5000*$E2-($H2+(IF(L2/(1+IF(L2&lt;100000,0,1%))&lt;100000,0,L2/(1+IF(L2&lt;100000,0,1%))*1%*5%))))</f>
        <v/>
      </c>
      <c r="AC2" s="15">
        <f>IF(M2="","",($G2+M2-(IF(M2/(1+IF(M2&lt;100000,0,1%))&lt;100000,0,M2/(1+IF(M2&lt;100000,0,1%))*1%)))*80%-5000*$E2-($H2+(IF(M2/(1+IF(M2&lt;100000,0,1%))&lt;100000,0,M2/(1+IF(M2&lt;100000,0,1%))*1%*5%))))</f>
        <v/>
      </c>
      <c r="AD2" s="15">
        <f>IF(N2="","",($G2+N2-(IF(N2/(1+IF(N2&lt;100000,0,1%))&lt;100000,0,N2/(1+IF(N2&lt;100000,0,1%))*1%)))*80%-5000*$E2-($H2+(IF(N2/(1+IF(N2&lt;100000,0,1%))&lt;100000,0,N2/(1+IF(N2&lt;100000,0,1%))*1%*5%))))</f>
        <v/>
      </c>
      <c r="AE2" s="15">
        <f>IF(O2="","",($G2+O2-(IF(O2/(1+IF(O2&lt;100000,0,1%))&lt;100000,0,O2/(1+IF(O2&lt;100000,0,1%))*1%)))*80%-5000*$E2-($H2+(IF(O2/(1+IF(O2&lt;100000,0,1%))&lt;100000,0,O2/(1+IF(O2&lt;100000,0,1%))*1%*5%))))</f>
        <v/>
      </c>
      <c r="AF2" s="15">
        <f>IF(P2="","",($G2+P2-(IF(P2/(1+IF(P2&lt;100000,0,1%))&lt;100000,0,P2/(1+IF(P2&lt;100000,0,1%))*1%)))*80%-5000*$E2-($H2+(IF(P2/(1+IF(P2&lt;100000,0,1%))&lt;100000,0,P2/(1+IF(P2&lt;100000,0,1%))*1%*5%))))</f>
        <v/>
      </c>
      <c r="AG2" s="15">
        <f>IF(Q2="","",($G2+Q2-(IF(Q2/(1+IF(Q2&lt;100000,0,1%))&lt;100000,0,Q2/(1+IF(Q2&lt;100000,0,1%))*1%)))*80%-5000*$E2-($H2+(IF(Q2/(1+IF(Q2&lt;100000,0,1%))&lt;100000,0,Q2/(1+IF(Q2&lt;100000,0,1%))*1%*5%))))</f>
        <v/>
      </c>
      <c r="AH2" s="15">
        <f>IF(R2="","",($G2+R2-(IF(R2/(1+IF(R2&lt;100000,0,1%))&lt;100000,0,R2/(1+IF(R2&lt;100000,0,1%))*1%)))*80%-5000*$E2-($H2+(IF(R2/(1+IF(R2&lt;100000,0,1%))&lt;100000,0,R2/(1+IF(R2&lt;100000,0,1%))*1%*5%))))</f>
        <v/>
      </c>
      <c r="AI2" s="15">
        <f>IF(S2="","",($G2+S2-(IF(S2/(1+IF(S2&lt;100000,0,1%))&lt;100000,0,S2/(1+IF(S2&lt;100000,0,1%))*1%)))*80%-5000*$E2-($H2+(IF(S2/(1+IF(S2&lt;100000,0,1%))&lt;100000,0,S2/(1+IF(S2&lt;100000,0,1%))*1%*5%))))</f>
        <v/>
      </c>
      <c r="AJ2" s="15">
        <f>IF(T2="","",($G2+T2-(IF(T2/(1+IF(T2&lt;100000,0,1%))&lt;100000,0,T2/(1+IF(T2&lt;100000,0,1%))*1%)))*80%-5000*$E2-($H2+(IF(T2/(1+IF(T2&lt;100000,0,1%))&lt;100000,0,T2/(1+IF(T2&lt;100000,0,1%))*1%*5%))))</f>
        <v/>
      </c>
      <c r="AK2" s="15">
        <f>IF(U2="","",($G2+U2-(IF(U2/(1+IF(U2&lt;100000,0,1%))&lt;100000,0,U2/(1+IF(U2&lt;100000,0,1%))*1%)))*80%-5000*$E2-($H2+(IF(U2/(1+IF(U2&lt;100000,0,1%))&lt;100000,0,U2/(1+IF(U2&lt;100000,0,1%))*1%*5%))))</f>
        <v/>
      </c>
      <c r="AL2" s="15">
        <f>IF(V2="","",($G2+V2-(IF(V2/(1+IF(V2&lt;100000,0,1%))&lt;100000,0,V2/(1+IF(V2&lt;100000,0,1%))*1%)))*80%-5000*$E2-($H2+(IF(V2/(1+IF(V2&lt;100000,0,1%))&lt;100000,0,V2/(1+IF(V2&lt;100000,0,1%))*1%*5%))))</f>
        <v/>
      </c>
      <c r="AM2" s="15">
        <f>IF(W2="","",($G2+W2-(IF(W2/(1+IF(W2&lt;100000,0,1%))&lt;100000,0,W2/(1+IF(W2&lt;100000,0,1%))*1%)))*80%-5000*$E2-($H2+(IF(W2/(1+IF(W2&lt;100000,0,1%))&lt;100000,0,W2/(1+IF(W2&lt;100000,0,1%))*1%*5%))))</f>
        <v/>
      </c>
      <c r="AN2" s="15">
        <f>IF(X2="","",($G2+X2-(IF(X2/(1+IF(X2&lt;100000,0,1%))&lt;100000,0,X2/(1+IF(X2&lt;100000,0,1%))*1%)))*80%-5000*$E2-($H2+(IF(X2/(1+IF(X2&lt;100000,0,1%))&lt;100000,0,X2/(1+IF(X2&lt;100000,0,1%))*1%*5%))))</f>
        <v/>
      </c>
      <c r="AO2" s="15">
        <f>IF(Y2="","",($G2+Y2-(IF(Y2/(1+IF(Y2&lt;100000,0,1%))&lt;100000,0,Y2/(1+IF(Y2&lt;100000,0,1%))*1%)))*80%-5000*$E2-($H2+(IF(Y2/(1+IF(Y2&lt;100000,0,1%))&lt;100000,0,Y2/(1+IF(Y2&lt;100000,0,1%))*1%*5%))))</f>
        <v/>
      </c>
      <c r="AP2" s="15">
        <f>IF(Z2="","",MAX(0,Z2*IF(Z2&lt;=36000,3%,IF(Z2&lt;=144000,10%,IF(Z2&lt;=300000,20%,IF(Z2&lt;=420000,25%,IF(Z2&lt;=660000,30%,IF(Z2&lt;=960000,35%,45%))))))-IF(Z2&lt;=36000,0,IF(Z2&lt;=144000,2520,IF(Z2&lt;=300000,16920,IF(Z2&lt;=420000,31920,IF(Z2&lt;=660000,52920,IF(Z2&lt;=960000,85920,181920))))))-$F2))</f>
        <v/>
      </c>
      <c r="AQ2" s="15">
        <f>IF(AA2="","",MAX(0,AA2*IF(AA2&lt;=36000,3%,IF(AA2&lt;=144000,10%,IF(AA2&lt;=300000,20%,IF(AA2&lt;=420000,25%,IF(AA2&lt;=660000,30%,IF(AA2&lt;=960000,35%,45%))))))-IF(AA2&lt;=36000,0,IF(AA2&lt;=144000,2520,IF(AA2&lt;=300000,16920,IF(AA2&lt;=420000,31920,IF(AA2&lt;=660000,52920,IF(AA2&lt;=960000,85920,181920))))))-$F2))</f>
        <v/>
      </c>
      <c r="AR2" s="15">
        <f>IF(AB2="","",MAX(0,AB2*IF(AB2&lt;=36000,3%,IF(AB2&lt;=144000,10%,IF(AB2&lt;=300000,20%,IF(AB2&lt;=420000,25%,IF(AB2&lt;=660000,30%,IF(AB2&lt;=960000,35%,45%))))))-IF(AB2&lt;=36000,0,IF(AB2&lt;=144000,2520,IF(AB2&lt;=300000,16920,IF(AB2&lt;=420000,31920,IF(AB2&lt;=660000,52920,IF(AB2&lt;=960000,85920,181920))))))-$F2))</f>
        <v/>
      </c>
      <c r="AS2" s="15">
        <f>IF(AC2="","",MAX(0,AC2*IF(AC2&lt;=36000,3%,IF(AC2&lt;=144000,10%,IF(AC2&lt;=300000,20%,IF(AC2&lt;=420000,25%,IF(AC2&lt;=660000,30%,IF(AC2&lt;=960000,35%,45%))))))-IF(AC2&lt;=36000,0,IF(AC2&lt;=144000,2520,IF(AC2&lt;=300000,16920,IF(AC2&lt;=420000,31920,IF(AC2&lt;=660000,52920,IF(AC2&lt;=960000,85920,181920))))))-$F2))</f>
        <v/>
      </c>
      <c r="AT2" s="15">
        <f>IF(AD2="","",MAX(0,AD2*IF(AD2&lt;=36000,3%,IF(AD2&lt;=144000,10%,IF(AD2&lt;=300000,20%,IF(AD2&lt;=420000,25%,IF(AD2&lt;=660000,30%,IF(AD2&lt;=960000,35%,45%))))))-IF(AD2&lt;=36000,0,IF(AD2&lt;=144000,2520,IF(AD2&lt;=300000,16920,IF(AD2&lt;=420000,31920,IF(AD2&lt;=660000,52920,IF(AD2&lt;=960000,85920,181920))))))-$F2))</f>
        <v/>
      </c>
      <c r="AU2" s="15">
        <f>IF(AE2="","",MAX(0,AE2*IF(AE2&lt;=36000,3%,IF(AE2&lt;=144000,10%,IF(AE2&lt;=300000,20%,IF(AE2&lt;=420000,25%,IF(AE2&lt;=660000,30%,IF(AE2&lt;=960000,35%,45%))))))-IF(AE2&lt;=36000,0,IF(AE2&lt;=144000,2520,IF(AE2&lt;=300000,16920,IF(AE2&lt;=420000,31920,IF(AE2&lt;=660000,52920,IF(AE2&lt;=960000,85920,181920))))))-$F2))</f>
        <v/>
      </c>
      <c r="AV2" s="15">
        <f>IF(AF2="","",MAX(0,AF2*IF(AF2&lt;=36000,3%,IF(AF2&lt;=144000,10%,IF(AF2&lt;=300000,20%,IF(AF2&lt;=420000,25%,IF(AF2&lt;=660000,30%,IF(AF2&lt;=960000,35%,45%))))))-IF(AF2&lt;=36000,0,IF(AF2&lt;=144000,2520,IF(AF2&lt;=300000,16920,IF(AF2&lt;=420000,31920,IF(AF2&lt;=660000,52920,IF(AF2&lt;=960000,85920,181920))))))-$F2))</f>
        <v/>
      </c>
      <c r="AW2" s="15">
        <f>IF(AG2="","",MAX(0,AG2*IF(AG2&lt;=36000,3%,IF(AG2&lt;=144000,10%,IF(AG2&lt;=300000,20%,IF(AG2&lt;=420000,25%,IF(AG2&lt;=660000,30%,IF(AG2&lt;=960000,35%,45%))))))-IF(AG2&lt;=36000,0,IF(AG2&lt;=144000,2520,IF(AG2&lt;=300000,16920,IF(AG2&lt;=420000,31920,IF(AG2&lt;=660000,52920,IF(AG2&lt;=960000,85920,181920))))))-$F2))</f>
        <v/>
      </c>
      <c r="AX2" s="15">
        <f>IF(AH2="","",MAX(0,AH2*IF(AH2&lt;=36000,3%,IF(AH2&lt;=144000,10%,IF(AH2&lt;=300000,20%,IF(AH2&lt;=420000,25%,IF(AH2&lt;=660000,30%,IF(AH2&lt;=960000,35%,45%))))))-IF(AH2&lt;=36000,0,IF(AH2&lt;=144000,2520,IF(AH2&lt;=300000,16920,IF(AH2&lt;=420000,31920,IF(AH2&lt;=660000,52920,IF(AH2&lt;=960000,85920,181920))))))-$F2))</f>
        <v/>
      </c>
      <c r="AY2" s="15">
        <f>IF(AI2="","",MAX(0,AI2*IF(AI2&lt;=36000,3%,IF(AI2&lt;=144000,10%,IF(AI2&lt;=300000,20%,IF(AI2&lt;=420000,25%,IF(AI2&lt;=660000,30%,IF(AI2&lt;=960000,35%,45%))))))-IF(AI2&lt;=36000,0,IF(AI2&lt;=144000,2520,IF(AI2&lt;=300000,16920,IF(AI2&lt;=420000,31920,IF(AI2&lt;=660000,52920,IF(AI2&lt;=960000,85920,181920))))))-$F2))</f>
        <v/>
      </c>
      <c r="AZ2" s="15">
        <f>IF(AJ2="","",MAX(0,AJ2*IF(AJ2&lt;=36000,3%,IF(AJ2&lt;=144000,10%,IF(AJ2&lt;=300000,20%,IF(AJ2&lt;=420000,25%,IF(AJ2&lt;=660000,30%,IF(AJ2&lt;=960000,35%,45%))))))-IF(AJ2&lt;=36000,0,IF(AJ2&lt;=144000,2520,IF(AJ2&lt;=300000,16920,IF(AJ2&lt;=420000,31920,IF(AJ2&lt;=660000,52920,IF(AJ2&lt;=960000,85920,181920))))))-$F2))</f>
        <v/>
      </c>
      <c r="BA2" s="15">
        <f>IF(AK2="","",MAX(0,AK2*IF(AK2&lt;=36000,3%,IF(AK2&lt;=144000,10%,IF(AK2&lt;=300000,20%,IF(AK2&lt;=420000,25%,IF(AK2&lt;=660000,30%,IF(AK2&lt;=960000,35%,45%))))))-IF(AK2&lt;=36000,0,IF(AK2&lt;=144000,2520,IF(AK2&lt;=300000,16920,IF(AK2&lt;=420000,31920,IF(AK2&lt;=660000,52920,IF(AK2&lt;=960000,85920,181920))))))-$F2))</f>
        <v/>
      </c>
      <c r="BB2" s="15">
        <f>IF(AL2="","",MAX(0,AL2*IF(AL2&lt;=36000,3%,IF(AL2&lt;=144000,10%,IF(AL2&lt;=300000,20%,IF(AL2&lt;=420000,25%,IF(AL2&lt;=660000,30%,IF(AL2&lt;=960000,35%,45%))))))-IF(AL2&lt;=36000,0,IF(AL2&lt;=144000,2520,IF(AL2&lt;=300000,16920,IF(AL2&lt;=420000,31920,IF(AL2&lt;=660000,52920,IF(AL2&lt;=960000,85920,181920))))))-$F2))</f>
        <v/>
      </c>
      <c r="BC2" s="15">
        <f>IF(AM2="","",MAX(0,AM2*IF(AM2&lt;=36000,3%,IF(AM2&lt;=144000,10%,IF(AM2&lt;=300000,20%,IF(AM2&lt;=420000,25%,IF(AM2&lt;=660000,30%,IF(AM2&lt;=960000,35%,45%))))))-IF(AM2&lt;=36000,0,IF(AM2&lt;=144000,2520,IF(AM2&lt;=300000,16920,IF(AM2&lt;=420000,31920,IF(AM2&lt;=660000,52920,IF(AM2&lt;=960000,85920,181920))))))-$F2))</f>
        <v/>
      </c>
      <c r="BD2" s="15">
        <f>IF(AN2="","",MAX(0,AN2*IF(AN2&lt;=36000,3%,IF(AN2&lt;=144000,10%,IF(AN2&lt;=300000,20%,IF(AN2&lt;=420000,25%,IF(AN2&lt;=660000,30%,IF(AN2&lt;=960000,35%,45%))))))-IF(AN2&lt;=36000,0,IF(AN2&lt;=144000,2520,IF(AN2&lt;=300000,16920,IF(AN2&lt;=420000,31920,IF(AN2&lt;=660000,52920,IF(AN2&lt;=960000,85920,181920))))))-$F2))</f>
        <v/>
      </c>
      <c r="BE2" s="15">
        <f>IF(AO2="","",MAX(0,AO2*IF(AO2&lt;=36000,3%,IF(AO2&lt;=144000,10%,IF(AO2&lt;=300000,20%,IF(AO2&lt;=420000,25%,IF(AO2&lt;=660000,30%,IF(AO2&lt;=960000,35%,45%))))))-IF(AO2&lt;=36000,0,IF(AO2&lt;=144000,2520,IF(AO2&lt;=300000,16920,IF(AO2&lt;=420000,31920,IF(AO2&lt;=660000,52920,IF(AO2&lt;=960000,85920,181920))))))-$F2))</f>
        <v/>
      </c>
      <c r="BF2" s="15">
        <f>IF(J2="","",J2-(IF(J2/(1+IF(J2&lt;100000,0,1%))&lt;100000,0,J2/(1+IF(J2&lt;100000,0,1%))*1%))-(IF(J2/(1+IF(J2&lt;100000,0,1%))&lt;100000,0,J2/(1+IF(J2&lt;100000,0,1%))*1%*5%))-AP2)</f>
        <v/>
      </c>
      <c r="BG2" s="15">
        <f>IF(K2="","",K2-(IF(K2/(1+IF(K2&lt;100000,0,1%))&lt;100000,0,K2/(1+IF(K2&lt;100000,0,1%))*1%))-(IF(K2/(1+IF(K2&lt;100000,0,1%))&lt;100000,0,K2/(1+IF(K2&lt;100000,0,1%))*1%*5%))-AQ2)</f>
        <v/>
      </c>
      <c r="BH2" s="15">
        <f>IF(L2="","",L2-(IF(L2/(1+IF(L2&lt;100000,0,1%))&lt;100000,0,L2/(1+IF(L2&lt;100000,0,1%))*1%))-(IF(L2/(1+IF(L2&lt;100000,0,1%))&lt;100000,0,L2/(1+IF(L2&lt;100000,0,1%))*1%*5%))-AR2)</f>
        <v/>
      </c>
      <c r="BI2" s="15">
        <f>IF(M2="","",M2-(IF(M2/(1+IF(M2&lt;100000,0,1%))&lt;100000,0,M2/(1+IF(M2&lt;100000,0,1%))*1%))-(IF(M2/(1+IF(M2&lt;100000,0,1%))&lt;100000,0,M2/(1+IF(M2&lt;100000,0,1%))*1%*5%))-AS2)</f>
        <v/>
      </c>
      <c r="BJ2" s="15">
        <f>IF(N2="","",N2-(IF(N2/(1+IF(N2&lt;100000,0,1%))&lt;100000,0,N2/(1+IF(N2&lt;100000,0,1%))*1%))-(IF(N2/(1+IF(N2&lt;100000,0,1%))&lt;100000,0,N2/(1+IF(N2&lt;100000,0,1%))*1%*5%))-AT2)</f>
        <v/>
      </c>
      <c r="BK2" s="15">
        <f>IF(O2="","",O2-(IF(O2/(1+IF(O2&lt;100000,0,1%))&lt;100000,0,O2/(1+IF(O2&lt;100000,0,1%))*1%))-(IF(O2/(1+IF(O2&lt;100000,0,1%))&lt;100000,0,O2/(1+IF(O2&lt;100000,0,1%))*1%*5%))-AU2)</f>
        <v/>
      </c>
      <c r="BL2" s="15">
        <f>IF(P2="","",P2-(IF(P2/(1+IF(P2&lt;100000,0,1%))&lt;100000,0,P2/(1+IF(P2&lt;100000,0,1%))*1%))-(IF(P2/(1+IF(P2&lt;100000,0,1%))&lt;100000,0,P2/(1+IF(P2&lt;100000,0,1%))*1%*5%))-AV2)</f>
        <v/>
      </c>
      <c r="BM2" s="15">
        <f>IF(Q2="","",Q2-(IF(Q2/(1+IF(Q2&lt;100000,0,1%))&lt;100000,0,Q2/(1+IF(Q2&lt;100000,0,1%))*1%))-(IF(Q2/(1+IF(Q2&lt;100000,0,1%))&lt;100000,0,Q2/(1+IF(Q2&lt;100000,0,1%))*1%*5%))-AW2)</f>
        <v/>
      </c>
      <c r="BN2" s="15">
        <f>IF(R2="","",R2-(IF(R2/(1+IF(R2&lt;100000,0,1%))&lt;100000,0,R2/(1+IF(R2&lt;100000,0,1%))*1%))-(IF(R2/(1+IF(R2&lt;100000,0,1%))&lt;100000,0,R2/(1+IF(R2&lt;100000,0,1%))*1%*5%))-AX2)</f>
        <v/>
      </c>
      <c r="BO2" s="15">
        <f>IF(S2="","",S2-(IF(S2/(1+IF(S2&lt;100000,0,1%))&lt;100000,0,S2/(1+IF(S2&lt;100000,0,1%))*1%))-(IF(S2/(1+IF(S2&lt;100000,0,1%))&lt;100000,0,S2/(1+IF(S2&lt;100000,0,1%))*1%*5%))-AY2)</f>
        <v/>
      </c>
      <c r="BP2" s="15">
        <f>IF(T2="","",T2-(IF(T2/(1+IF(T2&lt;100000,0,1%))&lt;100000,0,T2/(1+IF(T2&lt;100000,0,1%))*1%))-(IF(T2/(1+IF(T2&lt;100000,0,1%))&lt;100000,0,T2/(1+IF(T2&lt;100000,0,1%))*1%*5%))-AZ2)</f>
        <v/>
      </c>
      <c r="BQ2" s="15">
        <f>IF(U2="","",U2-(IF(U2/(1+IF(U2&lt;100000,0,1%))&lt;100000,0,U2/(1+IF(U2&lt;100000,0,1%))*1%))-(IF(U2/(1+IF(U2&lt;100000,0,1%))&lt;100000,0,U2/(1+IF(U2&lt;100000,0,1%))*1%*5%))-BA2)</f>
        <v/>
      </c>
      <c r="BR2" s="15">
        <f>IF(V2="","",V2-(IF(V2/(1+IF(V2&lt;100000,0,1%))&lt;100000,0,V2/(1+IF(V2&lt;100000,0,1%))*1%))-(IF(V2/(1+IF(V2&lt;100000,0,1%))&lt;100000,0,V2/(1+IF(V2&lt;100000,0,1%))*1%*5%))-BB2)</f>
        <v/>
      </c>
      <c r="BS2" s="15">
        <f>IF(W2="","",W2-(IF(W2/(1+IF(W2&lt;100000,0,1%))&lt;100000,0,W2/(1+IF(W2&lt;100000,0,1%))*1%))-(IF(W2/(1+IF(W2&lt;100000,0,1%))&lt;100000,0,W2/(1+IF(W2&lt;100000,0,1%))*1%*5%))-BC2)</f>
        <v/>
      </c>
      <c r="BT2" s="15">
        <f>IF(X2="","",X2-(IF(X2/(1+IF(X2&lt;100000,0,1%))&lt;100000,0,X2/(1+IF(X2&lt;100000,0,1%))*1%))-(IF(X2/(1+IF(X2&lt;100000,0,1%))&lt;100000,0,X2/(1+IF(X2&lt;100000,0,1%))*1%*5%))-BD2)</f>
        <v/>
      </c>
      <c r="BU2" s="15">
        <f>IF(Y2="","",Y2-(IF(Y2/(1+IF(Y2&lt;100000,0,1%))&lt;100000,0,Y2/(1+IF(Y2&lt;100000,0,1%))*1%))-(IF(Y2/(1+IF(Y2&lt;100000,0,1%))&lt;100000,0,Y2/(1+IF(Y2&lt;100000,0,1%))*1%*5%))-BE2)</f>
        <v/>
      </c>
      <c r="BV2" s="15">
        <f>IF(BF2="","",ABS(BF2-$B2))</f>
        <v/>
      </c>
      <c r="BW2" s="15">
        <f>IF(BG2="","",ABS(BG2-$B2))</f>
        <v/>
      </c>
      <c r="BX2" s="15">
        <f>IF(BH2="","",ABS(BH2-$B2))</f>
        <v/>
      </c>
      <c r="BY2" s="15">
        <f>IF(BI2="","",ABS(BI2-$B2))</f>
        <v/>
      </c>
      <c r="BZ2" s="15">
        <f>IF(BJ2="","",ABS(BJ2-$B2))</f>
        <v/>
      </c>
      <c r="CA2" s="15">
        <f>IF(BK2="","",ABS(BK2-$B2))</f>
        <v/>
      </c>
      <c r="CB2" s="15">
        <f>IF(BL2="","",ABS(BL2-$B2))</f>
        <v/>
      </c>
      <c r="CC2" s="15">
        <f>IF(BM2="","",ABS(BM2-$B2))</f>
        <v/>
      </c>
      <c r="CD2" s="15">
        <f>IF(BN2="","",ABS(BN2-$B2))</f>
        <v/>
      </c>
      <c r="CE2" s="15">
        <f>IF(BO2="","",ABS(BO2-$B2))</f>
        <v/>
      </c>
      <c r="CF2" s="15">
        <f>IF(BP2="","",ABS(BP2-$B2))</f>
        <v/>
      </c>
      <c r="CG2" s="15">
        <f>IF(BQ2="","",ABS(BQ2-$B2))</f>
        <v/>
      </c>
      <c r="CH2" s="15">
        <f>IF(BR2="","",ABS(BR2-$B2))</f>
        <v/>
      </c>
      <c r="CI2" s="15">
        <f>IF(BS2="","",ABS(BS2-$B2))</f>
        <v/>
      </c>
      <c r="CJ2" s="15">
        <f>IF(BT2="","",ABS(BT2-$B2))</f>
        <v/>
      </c>
      <c r="CK2" s="15">
        <f>IF(BU2="","",ABS(BU2-$B2))</f>
        <v/>
      </c>
      <c r="CL2" s="14">
        <f>IF(J2="","",AND(J2&gt;0,J2&lt;101000,BV2&lt;0.05,AP2=0))</f>
        <v/>
      </c>
      <c r="CM2" s="14">
        <f>IF(K2="","",AND(K2&gt;0,K2&gt;=101000,BW2&lt;0.05,AQ2=0))</f>
        <v/>
      </c>
      <c r="CN2" s="14">
        <f>IF(L2="","",AND(L2&gt;0,L2&lt;101000,BX2&lt;0.05,AR2&gt;0))</f>
        <v/>
      </c>
      <c r="CO2" s="14">
        <f>IF(M2="","",AND(M2&gt;0,M2&lt;101000,BY2&lt;0.05,AS2&gt;0))</f>
        <v/>
      </c>
      <c r="CP2" s="14">
        <f>IF(N2="","",AND(N2&gt;0,N2&lt;101000,BZ2&lt;0.05,AT2&gt;0))</f>
        <v/>
      </c>
      <c r="CQ2" s="14">
        <f>IF(O2="","",AND(O2&gt;0,O2&lt;101000,CA2&lt;0.05,AU2&gt;0))</f>
        <v/>
      </c>
      <c r="CR2" s="14">
        <f>IF(P2="","",AND(P2&gt;0,P2&lt;101000,CB2&lt;0.05,AV2&gt;0))</f>
        <v/>
      </c>
      <c r="CS2" s="14">
        <f>IF(Q2="","",AND(Q2&gt;0,Q2&lt;101000,CC2&lt;0.05,AW2&gt;0))</f>
        <v/>
      </c>
      <c r="CT2" s="14">
        <f>IF(R2="","",AND(R2&gt;0,R2&lt;101000,CD2&lt;0.05,AX2&gt;0))</f>
        <v/>
      </c>
      <c r="CU2" s="14">
        <f>IF(S2="","",AND(S2&gt;0,S2&gt;=101000,CE2&lt;0.05,AY2&gt;0))</f>
        <v/>
      </c>
      <c r="CV2" s="14">
        <f>IF(T2="","",AND(T2&gt;0,T2&gt;=101000,CF2&lt;0.05,AZ2&gt;0))</f>
        <v/>
      </c>
      <c r="CW2" s="14">
        <f>IF(U2="","",AND(U2&gt;0,U2&gt;=101000,CG2&lt;0.05,BA2&gt;0))</f>
        <v/>
      </c>
      <c r="CX2" s="14">
        <f>IF(V2="","",AND(V2&gt;0,V2&gt;=101000,CH2&lt;0.05,BB2&gt;0))</f>
        <v/>
      </c>
      <c r="CY2" s="14">
        <f>IF(W2="","",AND(W2&gt;0,W2&gt;=101000,CI2&lt;0.05,BC2&gt;0))</f>
        <v/>
      </c>
      <c r="CZ2" s="14">
        <f>IF(X2="","",AND(X2&gt;0,X2&gt;=101000,CJ2&lt;0.05,BD2&gt;0))</f>
        <v/>
      </c>
      <c r="DA2" s="14">
        <f>IF(Y2="","",AND(Y2&gt;0,Y2&gt;=101000,CK2&lt;0.05,BE2&gt;0))</f>
        <v/>
      </c>
      <c r="DB2" s="14">
        <f>IFERROR(MATCH(TRUE,CL2:DA2,0),"")</f>
        <v/>
      </c>
      <c r="DC2" s="15">
        <f>IF(DB2="","",INDEX(J2:Y2,DB2))</f>
        <v/>
      </c>
      <c r="DD2" s="15">
        <f>IF(DB2="","",INDEX(BF2:BU2,DB2))</f>
        <v/>
      </c>
    </row>
    <row r="3">
      <c r="A3" s="14" t="n">
        <v>2</v>
      </c>
      <c r="B3" s="15">
        <f>'月度计算'!C6</f>
        <v/>
      </c>
      <c r="C3" s="14">
        <f>'月度计算'!D6</f>
        <v/>
      </c>
      <c r="D3" s="15">
        <f>'月度计算'!B6</f>
        <v/>
      </c>
      <c r="E3" s="14">
        <f>'月度计算'!E6</f>
        <v/>
      </c>
      <c r="F3" s="15">
        <f>'月度计算'!F6</f>
        <v/>
      </c>
      <c r="G3" s="15">
        <f>'月度计算'!AB6</f>
        <v/>
      </c>
      <c r="H3" s="15">
        <f>'月度计算'!AC6</f>
        <v/>
      </c>
      <c r="I3" s="15">
        <f>IF(C3=0,"",G3*80%-5000*E3-H3)</f>
        <v/>
      </c>
      <c r="J3" s="15">
        <f>IF(OR($C3=0,$B3="",$D3&lt;&gt;""),"",$B3/(1-(0)))</f>
        <v/>
      </c>
      <c r="K3" s="15">
        <f>IF(OR($C3=0,$B3="",$D3&lt;&gt;""),"",$B3/(1-(21/2020)))</f>
        <v/>
      </c>
      <c r="L3" s="15">
        <f>IF(OR($C3=0,$B3="",$D3&lt;&gt;""),"",($B3-0-$F3+$I3*0.03)/(1-(0)-(0.8)*0.03))</f>
        <v/>
      </c>
      <c r="M3" s="15">
        <f>IF(OR($C3=0,$B3="",$D3&lt;&gt;""),"",($B3-2520-$F3+$I3*0.1)/(1-(0)-(0.8)*0.1))</f>
        <v/>
      </c>
      <c r="N3" s="15">
        <f>IF(OR($C3=0,$B3="",$D3&lt;&gt;""),"",($B3-16920-$F3+$I3*0.2)/(1-(0)-(0.8)*0.2))</f>
        <v/>
      </c>
      <c r="O3" s="15">
        <f>IF(OR($C3=0,$B3="",$D3&lt;&gt;""),"",($B3-31920-$F3+$I3*0.25)/(1-(0)-(0.8)*0.25))</f>
        <v/>
      </c>
      <c r="P3" s="15">
        <f>IF(OR($C3=0,$B3="",$D3&lt;&gt;""),"",($B3-52920-$F3+$I3*0.3)/(1-(0)-(0.8)*0.3))</f>
        <v/>
      </c>
      <c r="Q3" s="15">
        <f>IF(OR($C3=0,$B3="",$D3&lt;&gt;""),"",($B3-85920-$F3+$I3*0.35)/(1-(0)-(0.8)*0.35))</f>
        <v/>
      </c>
      <c r="R3" s="15">
        <f>IF(OR($C3=0,$B3="",$D3&lt;&gt;""),"",($B3-181920-$F3+$I3*0.45)/(1-(0)-(0.8)*0.45))</f>
        <v/>
      </c>
      <c r="S3" s="15">
        <f>IF(OR($C3=0,$B3="",$D3&lt;&gt;""),"",($B3-0-$F3+$I3*0.03)/(1-(21/2020)-(1599/2020)*0.03))</f>
        <v/>
      </c>
      <c r="T3" s="15">
        <f>IF(OR($C3=0,$B3="",$D3&lt;&gt;""),"",($B3-2520-$F3+$I3*0.1)/(1-(21/2020)-(1599/2020)*0.1))</f>
        <v/>
      </c>
      <c r="U3" s="15">
        <f>IF(OR($C3=0,$B3="",$D3&lt;&gt;""),"",($B3-16920-$F3+$I3*0.2)/(1-(21/2020)-(1599/2020)*0.2))</f>
        <v/>
      </c>
      <c r="V3" s="15">
        <f>IF(OR($C3=0,$B3="",$D3&lt;&gt;""),"",($B3-31920-$F3+$I3*0.25)/(1-(21/2020)-(1599/2020)*0.25))</f>
        <v/>
      </c>
      <c r="W3" s="15">
        <f>IF(OR($C3=0,$B3="",$D3&lt;&gt;""),"",($B3-52920-$F3+$I3*0.3)/(1-(21/2020)-(1599/2020)*0.3))</f>
        <v/>
      </c>
      <c r="X3" s="15">
        <f>IF(OR($C3=0,$B3="",$D3&lt;&gt;""),"",($B3-85920-$F3+$I3*0.35)/(1-(21/2020)-(1599/2020)*0.35))</f>
        <v/>
      </c>
      <c r="Y3" s="15">
        <f>IF(OR($C3=0,$B3="",$D3&lt;&gt;""),"",($B3-181920-$F3+$I3*0.45)/(1-(21/2020)-(1599/2020)*0.45))</f>
        <v/>
      </c>
      <c r="Z3" s="15">
        <f>IF(J3="","",($G3+J3-(IF(J3/(1+IF(J3&lt;100000,0,1%))&lt;100000,0,J3/(1+IF(J3&lt;100000,0,1%))*1%)))*80%-5000*$E3-($H3+(IF(J3/(1+IF(J3&lt;100000,0,1%))&lt;100000,0,J3/(1+IF(J3&lt;100000,0,1%))*1%*5%))))</f>
        <v/>
      </c>
      <c r="AA3" s="15">
        <f>IF(K3="","",($G3+K3-(IF(K3/(1+IF(K3&lt;100000,0,1%))&lt;100000,0,K3/(1+IF(K3&lt;100000,0,1%))*1%)))*80%-5000*$E3-($H3+(IF(K3/(1+IF(K3&lt;100000,0,1%))&lt;100000,0,K3/(1+IF(K3&lt;100000,0,1%))*1%*5%))))</f>
        <v/>
      </c>
      <c r="AB3" s="15">
        <f>IF(L3="","",($G3+L3-(IF(L3/(1+IF(L3&lt;100000,0,1%))&lt;100000,0,L3/(1+IF(L3&lt;100000,0,1%))*1%)))*80%-5000*$E3-($H3+(IF(L3/(1+IF(L3&lt;100000,0,1%))&lt;100000,0,L3/(1+IF(L3&lt;100000,0,1%))*1%*5%))))</f>
        <v/>
      </c>
      <c r="AC3" s="15">
        <f>IF(M3="","",($G3+M3-(IF(M3/(1+IF(M3&lt;100000,0,1%))&lt;100000,0,M3/(1+IF(M3&lt;100000,0,1%))*1%)))*80%-5000*$E3-($H3+(IF(M3/(1+IF(M3&lt;100000,0,1%))&lt;100000,0,M3/(1+IF(M3&lt;100000,0,1%))*1%*5%))))</f>
        <v/>
      </c>
      <c r="AD3" s="15">
        <f>IF(N3="","",($G3+N3-(IF(N3/(1+IF(N3&lt;100000,0,1%))&lt;100000,0,N3/(1+IF(N3&lt;100000,0,1%))*1%)))*80%-5000*$E3-($H3+(IF(N3/(1+IF(N3&lt;100000,0,1%))&lt;100000,0,N3/(1+IF(N3&lt;100000,0,1%))*1%*5%))))</f>
        <v/>
      </c>
      <c r="AE3" s="15">
        <f>IF(O3="","",($G3+O3-(IF(O3/(1+IF(O3&lt;100000,0,1%))&lt;100000,0,O3/(1+IF(O3&lt;100000,0,1%))*1%)))*80%-5000*$E3-($H3+(IF(O3/(1+IF(O3&lt;100000,0,1%))&lt;100000,0,O3/(1+IF(O3&lt;100000,0,1%))*1%*5%))))</f>
        <v/>
      </c>
      <c r="AF3" s="15">
        <f>IF(P3="","",($G3+P3-(IF(P3/(1+IF(P3&lt;100000,0,1%))&lt;100000,0,P3/(1+IF(P3&lt;100000,0,1%))*1%)))*80%-5000*$E3-($H3+(IF(P3/(1+IF(P3&lt;100000,0,1%))&lt;100000,0,P3/(1+IF(P3&lt;100000,0,1%))*1%*5%))))</f>
        <v/>
      </c>
      <c r="AG3" s="15">
        <f>IF(Q3="","",($G3+Q3-(IF(Q3/(1+IF(Q3&lt;100000,0,1%))&lt;100000,0,Q3/(1+IF(Q3&lt;100000,0,1%))*1%)))*80%-5000*$E3-($H3+(IF(Q3/(1+IF(Q3&lt;100000,0,1%))&lt;100000,0,Q3/(1+IF(Q3&lt;100000,0,1%))*1%*5%))))</f>
        <v/>
      </c>
      <c r="AH3" s="15">
        <f>IF(R3="","",($G3+R3-(IF(R3/(1+IF(R3&lt;100000,0,1%))&lt;100000,0,R3/(1+IF(R3&lt;100000,0,1%))*1%)))*80%-5000*$E3-($H3+(IF(R3/(1+IF(R3&lt;100000,0,1%))&lt;100000,0,R3/(1+IF(R3&lt;100000,0,1%))*1%*5%))))</f>
        <v/>
      </c>
      <c r="AI3" s="15">
        <f>IF(S3="","",($G3+S3-(IF(S3/(1+IF(S3&lt;100000,0,1%))&lt;100000,0,S3/(1+IF(S3&lt;100000,0,1%))*1%)))*80%-5000*$E3-($H3+(IF(S3/(1+IF(S3&lt;100000,0,1%))&lt;100000,0,S3/(1+IF(S3&lt;100000,0,1%))*1%*5%))))</f>
        <v/>
      </c>
      <c r="AJ3" s="15">
        <f>IF(T3="","",($G3+T3-(IF(T3/(1+IF(T3&lt;100000,0,1%))&lt;100000,0,T3/(1+IF(T3&lt;100000,0,1%))*1%)))*80%-5000*$E3-($H3+(IF(T3/(1+IF(T3&lt;100000,0,1%))&lt;100000,0,T3/(1+IF(T3&lt;100000,0,1%))*1%*5%))))</f>
        <v/>
      </c>
      <c r="AK3" s="15">
        <f>IF(U3="","",($G3+U3-(IF(U3/(1+IF(U3&lt;100000,0,1%))&lt;100000,0,U3/(1+IF(U3&lt;100000,0,1%))*1%)))*80%-5000*$E3-($H3+(IF(U3/(1+IF(U3&lt;100000,0,1%))&lt;100000,0,U3/(1+IF(U3&lt;100000,0,1%))*1%*5%))))</f>
        <v/>
      </c>
      <c r="AL3" s="15">
        <f>IF(V3="","",($G3+V3-(IF(V3/(1+IF(V3&lt;100000,0,1%))&lt;100000,0,V3/(1+IF(V3&lt;100000,0,1%))*1%)))*80%-5000*$E3-($H3+(IF(V3/(1+IF(V3&lt;100000,0,1%))&lt;100000,0,V3/(1+IF(V3&lt;100000,0,1%))*1%*5%))))</f>
        <v/>
      </c>
      <c r="AM3" s="15">
        <f>IF(W3="","",($G3+W3-(IF(W3/(1+IF(W3&lt;100000,0,1%))&lt;100000,0,W3/(1+IF(W3&lt;100000,0,1%))*1%)))*80%-5000*$E3-($H3+(IF(W3/(1+IF(W3&lt;100000,0,1%))&lt;100000,0,W3/(1+IF(W3&lt;100000,0,1%))*1%*5%))))</f>
        <v/>
      </c>
      <c r="AN3" s="15">
        <f>IF(X3="","",($G3+X3-(IF(X3/(1+IF(X3&lt;100000,0,1%))&lt;100000,0,X3/(1+IF(X3&lt;100000,0,1%))*1%)))*80%-5000*$E3-($H3+(IF(X3/(1+IF(X3&lt;100000,0,1%))&lt;100000,0,X3/(1+IF(X3&lt;100000,0,1%))*1%*5%))))</f>
        <v/>
      </c>
      <c r="AO3" s="15">
        <f>IF(Y3="","",($G3+Y3-(IF(Y3/(1+IF(Y3&lt;100000,0,1%))&lt;100000,0,Y3/(1+IF(Y3&lt;100000,0,1%))*1%)))*80%-5000*$E3-($H3+(IF(Y3/(1+IF(Y3&lt;100000,0,1%))&lt;100000,0,Y3/(1+IF(Y3&lt;100000,0,1%))*1%*5%))))</f>
        <v/>
      </c>
      <c r="AP3" s="15">
        <f>IF(Z3="","",MAX(0,Z3*IF(Z3&lt;=36000,3%,IF(Z3&lt;=144000,10%,IF(Z3&lt;=300000,20%,IF(Z3&lt;=420000,25%,IF(Z3&lt;=660000,30%,IF(Z3&lt;=960000,35%,45%))))))-IF(Z3&lt;=36000,0,IF(Z3&lt;=144000,2520,IF(Z3&lt;=300000,16920,IF(Z3&lt;=420000,31920,IF(Z3&lt;=660000,52920,IF(Z3&lt;=960000,85920,181920))))))-$F3))</f>
        <v/>
      </c>
      <c r="AQ3" s="15">
        <f>IF(AA3="","",MAX(0,AA3*IF(AA3&lt;=36000,3%,IF(AA3&lt;=144000,10%,IF(AA3&lt;=300000,20%,IF(AA3&lt;=420000,25%,IF(AA3&lt;=660000,30%,IF(AA3&lt;=960000,35%,45%))))))-IF(AA3&lt;=36000,0,IF(AA3&lt;=144000,2520,IF(AA3&lt;=300000,16920,IF(AA3&lt;=420000,31920,IF(AA3&lt;=660000,52920,IF(AA3&lt;=960000,85920,181920))))))-$F3))</f>
        <v/>
      </c>
      <c r="AR3" s="15">
        <f>IF(AB3="","",MAX(0,AB3*IF(AB3&lt;=36000,3%,IF(AB3&lt;=144000,10%,IF(AB3&lt;=300000,20%,IF(AB3&lt;=420000,25%,IF(AB3&lt;=660000,30%,IF(AB3&lt;=960000,35%,45%))))))-IF(AB3&lt;=36000,0,IF(AB3&lt;=144000,2520,IF(AB3&lt;=300000,16920,IF(AB3&lt;=420000,31920,IF(AB3&lt;=660000,52920,IF(AB3&lt;=960000,85920,181920))))))-$F3))</f>
        <v/>
      </c>
      <c r="AS3" s="15">
        <f>IF(AC3="","",MAX(0,AC3*IF(AC3&lt;=36000,3%,IF(AC3&lt;=144000,10%,IF(AC3&lt;=300000,20%,IF(AC3&lt;=420000,25%,IF(AC3&lt;=660000,30%,IF(AC3&lt;=960000,35%,45%))))))-IF(AC3&lt;=36000,0,IF(AC3&lt;=144000,2520,IF(AC3&lt;=300000,16920,IF(AC3&lt;=420000,31920,IF(AC3&lt;=660000,52920,IF(AC3&lt;=960000,85920,181920))))))-$F3))</f>
        <v/>
      </c>
      <c r="AT3" s="15">
        <f>IF(AD3="","",MAX(0,AD3*IF(AD3&lt;=36000,3%,IF(AD3&lt;=144000,10%,IF(AD3&lt;=300000,20%,IF(AD3&lt;=420000,25%,IF(AD3&lt;=660000,30%,IF(AD3&lt;=960000,35%,45%))))))-IF(AD3&lt;=36000,0,IF(AD3&lt;=144000,2520,IF(AD3&lt;=300000,16920,IF(AD3&lt;=420000,31920,IF(AD3&lt;=660000,52920,IF(AD3&lt;=960000,85920,181920))))))-$F3))</f>
        <v/>
      </c>
      <c r="AU3" s="15">
        <f>IF(AE3="","",MAX(0,AE3*IF(AE3&lt;=36000,3%,IF(AE3&lt;=144000,10%,IF(AE3&lt;=300000,20%,IF(AE3&lt;=420000,25%,IF(AE3&lt;=660000,30%,IF(AE3&lt;=960000,35%,45%))))))-IF(AE3&lt;=36000,0,IF(AE3&lt;=144000,2520,IF(AE3&lt;=300000,16920,IF(AE3&lt;=420000,31920,IF(AE3&lt;=660000,52920,IF(AE3&lt;=960000,85920,181920))))))-$F3))</f>
        <v/>
      </c>
      <c r="AV3" s="15">
        <f>IF(AF3="","",MAX(0,AF3*IF(AF3&lt;=36000,3%,IF(AF3&lt;=144000,10%,IF(AF3&lt;=300000,20%,IF(AF3&lt;=420000,25%,IF(AF3&lt;=660000,30%,IF(AF3&lt;=960000,35%,45%))))))-IF(AF3&lt;=36000,0,IF(AF3&lt;=144000,2520,IF(AF3&lt;=300000,16920,IF(AF3&lt;=420000,31920,IF(AF3&lt;=660000,52920,IF(AF3&lt;=960000,85920,181920))))))-$F3))</f>
        <v/>
      </c>
      <c r="AW3" s="15">
        <f>IF(AG3="","",MAX(0,AG3*IF(AG3&lt;=36000,3%,IF(AG3&lt;=144000,10%,IF(AG3&lt;=300000,20%,IF(AG3&lt;=420000,25%,IF(AG3&lt;=660000,30%,IF(AG3&lt;=960000,35%,45%))))))-IF(AG3&lt;=36000,0,IF(AG3&lt;=144000,2520,IF(AG3&lt;=300000,16920,IF(AG3&lt;=420000,31920,IF(AG3&lt;=660000,52920,IF(AG3&lt;=960000,85920,181920))))))-$F3))</f>
        <v/>
      </c>
      <c r="AX3" s="15">
        <f>IF(AH3="","",MAX(0,AH3*IF(AH3&lt;=36000,3%,IF(AH3&lt;=144000,10%,IF(AH3&lt;=300000,20%,IF(AH3&lt;=420000,25%,IF(AH3&lt;=660000,30%,IF(AH3&lt;=960000,35%,45%))))))-IF(AH3&lt;=36000,0,IF(AH3&lt;=144000,2520,IF(AH3&lt;=300000,16920,IF(AH3&lt;=420000,31920,IF(AH3&lt;=660000,52920,IF(AH3&lt;=960000,85920,181920))))))-$F3))</f>
        <v/>
      </c>
      <c r="AY3" s="15">
        <f>IF(AI3="","",MAX(0,AI3*IF(AI3&lt;=36000,3%,IF(AI3&lt;=144000,10%,IF(AI3&lt;=300000,20%,IF(AI3&lt;=420000,25%,IF(AI3&lt;=660000,30%,IF(AI3&lt;=960000,35%,45%))))))-IF(AI3&lt;=36000,0,IF(AI3&lt;=144000,2520,IF(AI3&lt;=300000,16920,IF(AI3&lt;=420000,31920,IF(AI3&lt;=660000,52920,IF(AI3&lt;=960000,85920,181920))))))-$F3))</f>
        <v/>
      </c>
      <c r="AZ3" s="15">
        <f>IF(AJ3="","",MAX(0,AJ3*IF(AJ3&lt;=36000,3%,IF(AJ3&lt;=144000,10%,IF(AJ3&lt;=300000,20%,IF(AJ3&lt;=420000,25%,IF(AJ3&lt;=660000,30%,IF(AJ3&lt;=960000,35%,45%))))))-IF(AJ3&lt;=36000,0,IF(AJ3&lt;=144000,2520,IF(AJ3&lt;=300000,16920,IF(AJ3&lt;=420000,31920,IF(AJ3&lt;=660000,52920,IF(AJ3&lt;=960000,85920,181920))))))-$F3))</f>
        <v/>
      </c>
      <c r="BA3" s="15">
        <f>IF(AK3="","",MAX(0,AK3*IF(AK3&lt;=36000,3%,IF(AK3&lt;=144000,10%,IF(AK3&lt;=300000,20%,IF(AK3&lt;=420000,25%,IF(AK3&lt;=660000,30%,IF(AK3&lt;=960000,35%,45%))))))-IF(AK3&lt;=36000,0,IF(AK3&lt;=144000,2520,IF(AK3&lt;=300000,16920,IF(AK3&lt;=420000,31920,IF(AK3&lt;=660000,52920,IF(AK3&lt;=960000,85920,181920))))))-$F3))</f>
        <v/>
      </c>
      <c r="BB3" s="15">
        <f>IF(AL3="","",MAX(0,AL3*IF(AL3&lt;=36000,3%,IF(AL3&lt;=144000,10%,IF(AL3&lt;=300000,20%,IF(AL3&lt;=420000,25%,IF(AL3&lt;=660000,30%,IF(AL3&lt;=960000,35%,45%))))))-IF(AL3&lt;=36000,0,IF(AL3&lt;=144000,2520,IF(AL3&lt;=300000,16920,IF(AL3&lt;=420000,31920,IF(AL3&lt;=660000,52920,IF(AL3&lt;=960000,85920,181920))))))-$F3))</f>
        <v/>
      </c>
      <c r="BC3" s="15">
        <f>IF(AM3="","",MAX(0,AM3*IF(AM3&lt;=36000,3%,IF(AM3&lt;=144000,10%,IF(AM3&lt;=300000,20%,IF(AM3&lt;=420000,25%,IF(AM3&lt;=660000,30%,IF(AM3&lt;=960000,35%,45%))))))-IF(AM3&lt;=36000,0,IF(AM3&lt;=144000,2520,IF(AM3&lt;=300000,16920,IF(AM3&lt;=420000,31920,IF(AM3&lt;=660000,52920,IF(AM3&lt;=960000,85920,181920))))))-$F3))</f>
        <v/>
      </c>
      <c r="BD3" s="15">
        <f>IF(AN3="","",MAX(0,AN3*IF(AN3&lt;=36000,3%,IF(AN3&lt;=144000,10%,IF(AN3&lt;=300000,20%,IF(AN3&lt;=420000,25%,IF(AN3&lt;=660000,30%,IF(AN3&lt;=960000,35%,45%))))))-IF(AN3&lt;=36000,0,IF(AN3&lt;=144000,2520,IF(AN3&lt;=300000,16920,IF(AN3&lt;=420000,31920,IF(AN3&lt;=660000,52920,IF(AN3&lt;=960000,85920,181920))))))-$F3))</f>
        <v/>
      </c>
      <c r="BE3" s="15">
        <f>IF(AO3="","",MAX(0,AO3*IF(AO3&lt;=36000,3%,IF(AO3&lt;=144000,10%,IF(AO3&lt;=300000,20%,IF(AO3&lt;=420000,25%,IF(AO3&lt;=660000,30%,IF(AO3&lt;=960000,35%,45%))))))-IF(AO3&lt;=36000,0,IF(AO3&lt;=144000,2520,IF(AO3&lt;=300000,16920,IF(AO3&lt;=420000,31920,IF(AO3&lt;=660000,52920,IF(AO3&lt;=960000,85920,181920))))))-$F3))</f>
        <v/>
      </c>
      <c r="BF3" s="15">
        <f>IF(J3="","",J3-(IF(J3/(1+IF(J3&lt;100000,0,1%))&lt;100000,0,J3/(1+IF(J3&lt;100000,0,1%))*1%))-(IF(J3/(1+IF(J3&lt;100000,0,1%))&lt;100000,0,J3/(1+IF(J3&lt;100000,0,1%))*1%*5%))-AP3)</f>
        <v/>
      </c>
      <c r="BG3" s="15">
        <f>IF(K3="","",K3-(IF(K3/(1+IF(K3&lt;100000,0,1%))&lt;100000,0,K3/(1+IF(K3&lt;100000,0,1%))*1%))-(IF(K3/(1+IF(K3&lt;100000,0,1%))&lt;100000,0,K3/(1+IF(K3&lt;100000,0,1%))*1%*5%))-AQ3)</f>
        <v/>
      </c>
      <c r="BH3" s="15">
        <f>IF(L3="","",L3-(IF(L3/(1+IF(L3&lt;100000,0,1%))&lt;100000,0,L3/(1+IF(L3&lt;100000,0,1%))*1%))-(IF(L3/(1+IF(L3&lt;100000,0,1%))&lt;100000,0,L3/(1+IF(L3&lt;100000,0,1%))*1%*5%))-AR3)</f>
        <v/>
      </c>
      <c r="BI3" s="15">
        <f>IF(M3="","",M3-(IF(M3/(1+IF(M3&lt;100000,0,1%))&lt;100000,0,M3/(1+IF(M3&lt;100000,0,1%))*1%))-(IF(M3/(1+IF(M3&lt;100000,0,1%))&lt;100000,0,M3/(1+IF(M3&lt;100000,0,1%))*1%*5%))-AS3)</f>
        <v/>
      </c>
      <c r="BJ3" s="15">
        <f>IF(N3="","",N3-(IF(N3/(1+IF(N3&lt;100000,0,1%))&lt;100000,0,N3/(1+IF(N3&lt;100000,0,1%))*1%))-(IF(N3/(1+IF(N3&lt;100000,0,1%))&lt;100000,0,N3/(1+IF(N3&lt;100000,0,1%))*1%*5%))-AT3)</f>
        <v/>
      </c>
      <c r="BK3" s="15">
        <f>IF(O3="","",O3-(IF(O3/(1+IF(O3&lt;100000,0,1%))&lt;100000,0,O3/(1+IF(O3&lt;100000,0,1%))*1%))-(IF(O3/(1+IF(O3&lt;100000,0,1%))&lt;100000,0,O3/(1+IF(O3&lt;100000,0,1%))*1%*5%))-AU3)</f>
        <v/>
      </c>
      <c r="BL3" s="15">
        <f>IF(P3="","",P3-(IF(P3/(1+IF(P3&lt;100000,0,1%))&lt;100000,0,P3/(1+IF(P3&lt;100000,0,1%))*1%))-(IF(P3/(1+IF(P3&lt;100000,0,1%))&lt;100000,0,P3/(1+IF(P3&lt;100000,0,1%))*1%*5%))-AV3)</f>
        <v/>
      </c>
      <c r="BM3" s="15">
        <f>IF(Q3="","",Q3-(IF(Q3/(1+IF(Q3&lt;100000,0,1%))&lt;100000,0,Q3/(1+IF(Q3&lt;100000,0,1%))*1%))-(IF(Q3/(1+IF(Q3&lt;100000,0,1%))&lt;100000,0,Q3/(1+IF(Q3&lt;100000,0,1%))*1%*5%))-AW3)</f>
        <v/>
      </c>
      <c r="BN3" s="15">
        <f>IF(R3="","",R3-(IF(R3/(1+IF(R3&lt;100000,0,1%))&lt;100000,0,R3/(1+IF(R3&lt;100000,0,1%))*1%))-(IF(R3/(1+IF(R3&lt;100000,0,1%))&lt;100000,0,R3/(1+IF(R3&lt;100000,0,1%))*1%*5%))-AX3)</f>
        <v/>
      </c>
      <c r="BO3" s="15">
        <f>IF(S3="","",S3-(IF(S3/(1+IF(S3&lt;100000,0,1%))&lt;100000,0,S3/(1+IF(S3&lt;100000,0,1%))*1%))-(IF(S3/(1+IF(S3&lt;100000,0,1%))&lt;100000,0,S3/(1+IF(S3&lt;100000,0,1%))*1%*5%))-AY3)</f>
        <v/>
      </c>
      <c r="BP3" s="15">
        <f>IF(T3="","",T3-(IF(T3/(1+IF(T3&lt;100000,0,1%))&lt;100000,0,T3/(1+IF(T3&lt;100000,0,1%))*1%))-(IF(T3/(1+IF(T3&lt;100000,0,1%))&lt;100000,0,T3/(1+IF(T3&lt;100000,0,1%))*1%*5%))-AZ3)</f>
        <v/>
      </c>
      <c r="BQ3" s="15">
        <f>IF(U3="","",U3-(IF(U3/(1+IF(U3&lt;100000,0,1%))&lt;100000,0,U3/(1+IF(U3&lt;100000,0,1%))*1%))-(IF(U3/(1+IF(U3&lt;100000,0,1%))&lt;100000,0,U3/(1+IF(U3&lt;100000,0,1%))*1%*5%))-BA3)</f>
        <v/>
      </c>
      <c r="BR3" s="15">
        <f>IF(V3="","",V3-(IF(V3/(1+IF(V3&lt;100000,0,1%))&lt;100000,0,V3/(1+IF(V3&lt;100000,0,1%))*1%))-(IF(V3/(1+IF(V3&lt;100000,0,1%))&lt;100000,0,V3/(1+IF(V3&lt;100000,0,1%))*1%*5%))-BB3)</f>
        <v/>
      </c>
      <c r="BS3" s="15">
        <f>IF(W3="","",W3-(IF(W3/(1+IF(W3&lt;100000,0,1%))&lt;100000,0,W3/(1+IF(W3&lt;100000,0,1%))*1%))-(IF(W3/(1+IF(W3&lt;100000,0,1%))&lt;100000,0,W3/(1+IF(W3&lt;100000,0,1%))*1%*5%))-BC3)</f>
        <v/>
      </c>
      <c r="BT3" s="15">
        <f>IF(X3="","",X3-(IF(X3/(1+IF(X3&lt;100000,0,1%))&lt;100000,0,X3/(1+IF(X3&lt;100000,0,1%))*1%))-(IF(X3/(1+IF(X3&lt;100000,0,1%))&lt;100000,0,X3/(1+IF(X3&lt;100000,0,1%))*1%*5%))-BD3)</f>
        <v/>
      </c>
      <c r="BU3" s="15">
        <f>IF(Y3="","",Y3-(IF(Y3/(1+IF(Y3&lt;100000,0,1%))&lt;100000,0,Y3/(1+IF(Y3&lt;100000,0,1%))*1%))-(IF(Y3/(1+IF(Y3&lt;100000,0,1%))&lt;100000,0,Y3/(1+IF(Y3&lt;100000,0,1%))*1%*5%))-BE3)</f>
        <v/>
      </c>
      <c r="BV3" s="15">
        <f>IF(BF3="","",ABS(BF3-$B3))</f>
        <v/>
      </c>
      <c r="BW3" s="15">
        <f>IF(BG3="","",ABS(BG3-$B3))</f>
        <v/>
      </c>
      <c r="BX3" s="15">
        <f>IF(BH3="","",ABS(BH3-$B3))</f>
        <v/>
      </c>
      <c r="BY3" s="15">
        <f>IF(BI3="","",ABS(BI3-$B3))</f>
        <v/>
      </c>
      <c r="BZ3" s="15">
        <f>IF(BJ3="","",ABS(BJ3-$B3))</f>
        <v/>
      </c>
      <c r="CA3" s="15">
        <f>IF(BK3="","",ABS(BK3-$B3))</f>
        <v/>
      </c>
      <c r="CB3" s="15">
        <f>IF(BL3="","",ABS(BL3-$B3))</f>
        <v/>
      </c>
      <c r="CC3" s="15">
        <f>IF(BM3="","",ABS(BM3-$B3))</f>
        <v/>
      </c>
      <c r="CD3" s="15">
        <f>IF(BN3="","",ABS(BN3-$B3))</f>
        <v/>
      </c>
      <c r="CE3" s="15">
        <f>IF(BO3="","",ABS(BO3-$B3))</f>
        <v/>
      </c>
      <c r="CF3" s="15">
        <f>IF(BP3="","",ABS(BP3-$B3))</f>
        <v/>
      </c>
      <c r="CG3" s="15">
        <f>IF(BQ3="","",ABS(BQ3-$B3))</f>
        <v/>
      </c>
      <c r="CH3" s="15">
        <f>IF(BR3="","",ABS(BR3-$B3))</f>
        <v/>
      </c>
      <c r="CI3" s="15">
        <f>IF(BS3="","",ABS(BS3-$B3))</f>
        <v/>
      </c>
      <c r="CJ3" s="15">
        <f>IF(BT3="","",ABS(BT3-$B3))</f>
        <v/>
      </c>
      <c r="CK3" s="15">
        <f>IF(BU3="","",ABS(BU3-$B3))</f>
        <v/>
      </c>
      <c r="CL3" s="14">
        <f>IF(J3="","",AND(J3&gt;0,J3&lt;101000,BV3&lt;0.05,AP3=0))</f>
        <v/>
      </c>
      <c r="CM3" s="14">
        <f>IF(K3="","",AND(K3&gt;0,K3&gt;=101000,BW3&lt;0.05,AQ3=0))</f>
        <v/>
      </c>
      <c r="CN3" s="14">
        <f>IF(L3="","",AND(L3&gt;0,L3&lt;101000,BX3&lt;0.05,AR3&gt;0))</f>
        <v/>
      </c>
      <c r="CO3" s="14">
        <f>IF(M3="","",AND(M3&gt;0,M3&lt;101000,BY3&lt;0.05,AS3&gt;0))</f>
        <v/>
      </c>
      <c r="CP3" s="14">
        <f>IF(N3="","",AND(N3&gt;0,N3&lt;101000,BZ3&lt;0.05,AT3&gt;0))</f>
        <v/>
      </c>
      <c r="CQ3" s="14">
        <f>IF(O3="","",AND(O3&gt;0,O3&lt;101000,CA3&lt;0.05,AU3&gt;0))</f>
        <v/>
      </c>
      <c r="CR3" s="14">
        <f>IF(P3="","",AND(P3&gt;0,P3&lt;101000,CB3&lt;0.05,AV3&gt;0))</f>
        <v/>
      </c>
      <c r="CS3" s="14">
        <f>IF(Q3="","",AND(Q3&gt;0,Q3&lt;101000,CC3&lt;0.05,AW3&gt;0))</f>
        <v/>
      </c>
      <c r="CT3" s="14">
        <f>IF(R3="","",AND(R3&gt;0,R3&lt;101000,CD3&lt;0.05,AX3&gt;0))</f>
        <v/>
      </c>
      <c r="CU3" s="14">
        <f>IF(S3="","",AND(S3&gt;0,S3&gt;=101000,CE3&lt;0.05,AY3&gt;0))</f>
        <v/>
      </c>
      <c r="CV3" s="14">
        <f>IF(T3="","",AND(T3&gt;0,T3&gt;=101000,CF3&lt;0.05,AZ3&gt;0))</f>
        <v/>
      </c>
      <c r="CW3" s="14">
        <f>IF(U3="","",AND(U3&gt;0,U3&gt;=101000,CG3&lt;0.05,BA3&gt;0))</f>
        <v/>
      </c>
      <c r="CX3" s="14">
        <f>IF(V3="","",AND(V3&gt;0,V3&gt;=101000,CH3&lt;0.05,BB3&gt;0))</f>
        <v/>
      </c>
      <c r="CY3" s="14">
        <f>IF(W3="","",AND(W3&gt;0,W3&gt;=101000,CI3&lt;0.05,BC3&gt;0))</f>
        <v/>
      </c>
      <c r="CZ3" s="14">
        <f>IF(X3="","",AND(X3&gt;0,X3&gt;=101000,CJ3&lt;0.05,BD3&gt;0))</f>
        <v/>
      </c>
      <c r="DA3" s="14">
        <f>IF(Y3="","",AND(Y3&gt;0,Y3&gt;=101000,CK3&lt;0.05,BE3&gt;0))</f>
        <v/>
      </c>
      <c r="DB3" s="14">
        <f>IFERROR(MATCH(TRUE,CL3:DA3,0),"")</f>
        <v/>
      </c>
      <c r="DC3" s="15">
        <f>IF(DB3="","",INDEX(J3:Y3,DB3))</f>
        <v/>
      </c>
      <c r="DD3" s="15">
        <f>IF(DB3="","",INDEX(BF3:BU3,DB3))</f>
        <v/>
      </c>
    </row>
    <row r="4">
      <c r="A4" s="14" t="n">
        <v>3</v>
      </c>
      <c r="B4" s="15">
        <f>'月度计算'!C7</f>
        <v/>
      </c>
      <c r="C4" s="14">
        <f>'月度计算'!D7</f>
        <v/>
      </c>
      <c r="D4" s="15">
        <f>'月度计算'!B7</f>
        <v/>
      </c>
      <c r="E4" s="14">
        <f>'月度计算'!E7</f>
        <v/>
      </c>
      <c r="F4" s="15">
        <f>'月度计算'!F7</f>
        <v/>
      </c>
      <c r="G4" s="15">
        <f>'月度计算'!AB7</f>
        <v/>
      </c>
      <c r="H4" s="15">
        <f>'月度计算'!AC7</f>
        <v/>
      </c>
      <c r="I4" s="15">
        <f>IF(C4=0,"",G4*80%-5000*E4-H4)</f>
        <v/>
      </c>
      <c r="J4" s="15">
        <f>IF(OR($C4=0,$B4="",$D4&lt;&gt;""),"",$B4/(1-(0)))</f>
        <v/>
      </c>
      <c r="K4" s="15">
        <f>IF(OR($C4=0,$B4="",$D4&lt;&gt;""),"",$B4/(1-(21/2020)))</f>
        <v/>
      </c>
      <c r="L4" s="15">
        <f>IF(OR($C4=0,$B4="",$D4&lt;&gt;""),"",($B4-0-$F4+$I4*0.03)/(1-(0)-(0.8)*0.03))</f>
        <v/>
      </c>
      <c r="M4" s="15">
        <f>IF(OR($C4=0,$B4="",$D4&lt;&gt;""),"",($B4-2520-$F4+$I4*0.1)/(1-(0)-(0.8)*0.1))</f>
        <v/>
      </c>
      <c r="N4" s="15">
        <f>IF(OR($C4=0,$B4="",$D4&lt;&gt;""),"",($B4-16920-$F4+$I4*0.2)/(1-(0)-(0.8)*0.2))</f>
        <v/>
      </c>
      <c r="O4" s="15">
        <f>IF(OR($C4=0,$B4="",$D4&lt;&gt;""),"",($B4-31920-$F4+$I4*0.25)/(1-(0)-(0.8)*0.25))</f>
        <v/>
      </c>
      <c r="P4" s="15">
        <f>IF(OR($C4=0,$B4="",$D4&lt;&gt;""),"",($B4-52920-$F4+$I4*0.3)/(1-(0)-(0.8)*0.3))</f>
        <v/>
      </c>
      <c r="Q4" s="15">
        <f>IF(OR($C4=0,$B4="",$D4&lt;&gt;""),"",($B4-85920-$F4+$I4*0.35)/(1-(0)-(0.8)*0.35))</f>
        <v/>
      </c>
      <c r="R4" s="15">
        <f>IF(OR($C4=0,$B4="",$D4&lt;&gt;""),"",($B4-181920-$F4+$I4*0.45)/(1-(0)-(0.8)*0.45))</f>
        <v/>
      </c>
      <c r="S4" s="15">
        <f>IF(OR($C4=0,$B4="",$D4&lt;&gt;""),"",($B4-0-$F4+$I4*0.03)/(1-(21/2020)-(1599/2020)*0.03))</f>
        <v/>
      </c>
      <c r="T4" s="15">
        <f>IF(OR($C4=0,$B4="",$D4&lt;&gt;""),"",($B4-2520-$F4+$I4*0.1)/(1-(21/2020)-(1599/2020)*0.1))</f>
        <v/>
      </c>
      <c r="U4" s="15">
        <f>IF(OR($C4=0,$B4="",$D4&lt;&gt;""),"",($B4-16920-$F4+$I4*0.2)/(1-(21/2020)-(1599/2020)*0.2))</f>
        <v/>
      </c>
      <c r="V4" s="15">
        <f>IF(OR($C4=0,$B4="",$D4&lt;&gt;""),"",($B4-31920-$F4+$I4*0.25)/(1-(21/2020)-(1599/2020)*0.25))</f>
        <v/>
      </c>
      <c r="W4" s="15">
        <f>IF(OR($C4=0,$B4="",$D4&lt;&gt;""),"",($B4-52920-$F4+$I4*0.3)/(1-(21/2020)-(1599/2020)*0.3))</f>
        <v/>
      </c>
      <c r="X4" s="15">
        <f>IF(OR($C4=0,$B4="",$D4&lt;&gt;""),"",($B4-85920-$F4+$I4*0.35)/(1-(21/2020)-(1599/2020)*0.35))</f>
        <v/>
      </c>
      <c r="Y4" s="15">
        <f>IF(OR($C4=0,$B4="",$D4&lt;&gt;""),"",($B4-181920-$F4+$I4*0.45)/(1-(21/2020)-(1599/2020)*0.45))</f>
        <v/>
      </c>
      <c r="Z4" s="15">
        <f>IF(J4="","",($G4+J4-(IF(J4/(1+IF(J4&lt;100000,0,1%))&lt;100000,0,J4/(1+IF(J4&lt;100000,0,1%))*1%)))*80%-5000*$E4-($H4+(IF(J4/(1+IF(J4&lt;100000,0,1%))&lt;100000,0,J4/(1+IF(J4&lt;100000,0,1%))*1%*5%))))</f>
        <v/>
      </c>
      <c r="AA4" s="15">
        <f>IF(K4="","",($G4+K4-(IF(K4/(1+IF(K4&lt;100000,0,1%))&lt;100000,0,K4/(1+IF(K4&lt;100000,0,1%))*1%)))*80%-5000*$E4-($H4+(IF(K4/(1+IF(K4&lt;100000,0,1%))&lt;100000,0,K4/(1+IF(K4&lt;100000,0,1%))*1%*5%))))</f>
        <v/>
      </c>
      <c r="AB4" s="15">
        <f>IF(L4="","",($G4+L4-(IF(L4/(1+IF(L4&lt;100000,0,1%))&lt;100000,0,L4/(1+IF(L4&lt;100000,0,1%))*1%)))*80%-5000*$E4-($H4+(IF(L4/(1+IF(L4&lt;100000,0,1%))&lt;100000,0,L4/(1+IF(L4&lt;100000,0,1%))*1%*5%))))</f>
        <v/>
      </c>
      <c r="AC4" s="15">
        <f>IF(M4="","",($G4+M4-(IF(M4/(1+IF(M4&lt;100000,0,1%))&lt;100000,0,M4/(1+IF(M4&lt;100000,0,1%))*1%)))*80%-5000*$E4-($H4+(IF(M4/(1+IF(M4&lt;100000,0,1%))&lt;100000,0,M4/(1+IF(M4&lt;100000,0,1%))*1%*5%))))</f>
        <v/>
      </c>
      <c r="AD4" s="15">
        <f>IF(N4="","",($G4+N4-(IF(N4/(1+IF(N4&lt;100000,0,1%))&lt;100000,0,N4/(1+IF(N4&lt;100000,0,1%))*1%)))*80%-5000*$E4-($H4+(IF(N4/(1+IF(N4&lt;100000,0,1%))&lt;100000,0,N4/(1+IF(N4&lt;100000,0,1%))*1%*5%))))</f>
        <v/>
      </c>
      <c r="AE4" s="15">
        <f>IF(O4="","",($G4+O4-(IF(O4/(1+IF(O4&lt;100000,0,1%))&lt;100000,0,O4/(1+IF(O4&lt;100000,0,1%))*1%)))*80%-5000*$E4-($H4+(IF(O4/(1+IF(O4&lt;100000,0,1%))&lt;100000,0,O4/(1+IF(O4&lt;100000,0,1%))*1%*5%))))</f>
        <v/>
      </c>
      <c r="AF4" s="15">
        <f>IF(P4="","",($G4+P4-(IF(P4/(1+IF(P4&lt;100000,0,1%))&lt;100000,0,P4/(1+IF(P4&lt;100000,0,1%))*1%)))*80%-5000*$E4-($H4+(IF(P4/(1+IF(P4&lt;100000,0,1%))&lt;100000,0,P4/(1+IF(P4&lt;100000,0,1%))*1%*5%))))</f>
        <v/>
      </c>
      <c r="AG4" s="15">
        <f>IF(Q4="","",($G4+Q4-(IF(Q4/(1+IF(Q4&lt;100000,0,1%))&lt;100000,0,Q4/(1+IF(Q4&lt;100000,0,1%))*1%)))*80%-5000*$E4-($H4+(IF(Q4/(1+IF(Q4&lt;100000,0,1%))&lt;100000,0,Q4/(1+IF(Q4&lt;100000,0,1%))*1%*5%))))</f>
        <v/>
      </c>
      <c r="AH4" s="15">
        <f>IF(R4="","",($G4+R4-(IF(R4/(1+IF(R4&lt;100000,0,1%))&lt;100000,0,R4/(1+IF(R4&lt;100000,0,1%))*1%)))*80%-5000*$E4-($H4+(IF(R4/(1+IF(R4&lt;100000,0,1%))&lt;100000,0,R4/(1+IF(R4&lt;100000,0,1%))*1%*5%))))</f>
        <v/>
      </c>
      <c r="AI4" s="15">
        <f>IF(S4="","",($G4+S4-(IF(S4/(1+IF(S4&lt;100000,0,1%))&lt;100000,0,S4/(1+IF(S4&lt;100000,0,1%))*1%)))*80%-5000*$E4-($H4+(IF(S4/(1+IF(S4&lt;100000,0,1%))&lt;100000,0,S4/(1+IF(S4&lt;100000,0,1%))*1%*5%))))</f>
        <v/>
      </c>
      <c r="AJ4" s="15">
        <f>IF(T4="","",($G4+T4-(IF(T4/(1+IF(T4&lt;100000,0,1%))&lt;100000,0,T4/(1+IF(T4&lt;100000,0,1%))*1%)))*80%-5000*$E4-($H4+(IF(T4/(1+IF(T4&lt;100000,0,1%))&lt;100000,0,T4/(1+IF(T4&lt;100000,0,1%))*1%*5%))))</f>
        <v/>
      </c>
      <c r="AK4" s="15">
        <f>IF(U4="","",($G4+U4-(IF(U4/(1+IF(U4&lt;100000,0,1%))&lt;100000,0,U4/(1+IF(U4&lt;100000,0,1%))*1%)))*80%-5000*$E4-($H4+(IF(U4/(1+IF(U4&lt;100000,0,1%))&lt;100000,0,U4/(1+IF(U4&lt;100000,0,1%))*1%*5%))))</f>
        <v/>
      </c>
      <c r="AL4" s="15">
        <f>IF(V4="","",($G4+V4-(IF(V4/(1+IF(V4&lt;100000,0,1%))&lt;100000,0,V4/(1+IF(V4&lt;100000,0,1%))*1%)))*80%-5000*$E4-($H4+(IF(V4/(1+IF(V4&lt;100000,0,1%))&lt;100000,0,V4/(1+IF(V4&lt;100000,0,1%))*1%*5%))))</f>
        <v/>
      </c>
      <c r="AM4" s="15">
        <f>IF(W4="","",($G4+W4-(IF(W4/(1+IF(W4&lt;100000,0,1%))&lt;100000,0,W4/(1+IF(W4&lt;100000,0,1%))*1%)))*80%-5000*$E4-($H4+(IF(W4/(1+IF(W4&lt;100000,0,1%))&lt;100000,0,W4/(1+IF(W4&lt;100000,0,1%))*1%*5%))))</f>
        <v/>
      </c>
      <c r="AN4" s="15">
        <f>IF(X4="","",($G4+X4-(IF(X4/(1+IF(X4&lt;100000,0,1%))&lt;100000,0,X4/(1+IF(X4&lt;100000,0,1%))*1%)))*80%-5000*$E4-($H4+(IF(X4/(1+IF(X4&lt;100000,0,1%))&lt;100000,0,X4/(1+IF(X4&lt;100000,0,1%))*1%*5%))))</f>
        <v/>
      </c>
      <c r="AO4" s="15">
        <f>IF(Y4="","",($G4+Y4-(IF(Y4/(1+IF(Y4&lt;100000,0,1%))&lt;100000,0,Y4/(1+IF(Y4&lt;100000,0,1%))*1%)))*80%-5000*$E4-($H4+(IF(Y4/(1+IF(Y4&lt;100000,0,1%))&lt;100000,0,Y4/(1+IF(Y4&lt;100000,0,1%))*1%*5%))))</f>
        <v/>
      </c>
      <c r="AP4" s="15">
        <f>IF(Z4="","",MAX(0,Z4*IF(Z4&lt;=36000,3%,IF(Z4&lt;=144000,10%,IF(Z4&lt;=300000,20%,IF(Z4&lt;=420000,25%,IF(Z4&lt;=660000,30%,IF(Z4&lt;=960000,35%,45%))))))-IF(Z4&lt;=36000,0,IF(Z4&lt;=144000,2520,IF(Z4&lt;=300000,16920,IF(Z4&lt;=420000,31920,IF(Z4&lt;=660000,52920,IF(Z4&lt;=960000,85920,181920))))))-$F4))</f>
        <v/>
      </c>
      <c r="AQ4" s="15">
        <f>IF(AA4="","",MAX(0,AA4*IF(AA4&lt;=36000,3%,IF(AA4&lt;=144000,10%,IF(AA4&lt;=300000,20%,IF(AA4&lt;=420000,25%,IF(AA4&lt;=660000,30%,IF(AA4&lt;=960000,35%,45%))))))-IF(AA4&lt;=36000,0,IF(AA4&lt;=144000,2520,IF(AA4&lt;=300000,16920,IF(AA4&lt;=420000,31920,IF(AA4&lt;=660000,52920,IF(AA4&lt;=960000,85920,181920))))))-$F4))</f>
        <v/>
      </c>
      <c r="AR4" s="15">
        <f>IF(AB4="","",MAX(0,AB4*IF(AB4&lt;=36000,3%,IF(AB4&lt;=144000,10%,IF(AB4&lt;=300000,20%,IF(AB4&lt;=420000,25%,IF(AB4&lt;=660000,30%,IF(AB4&lt;=960000,35%,45%))))))-IF(AB4&lt;=36000,0,IF(AB4&lt;=144000,2520,IF(AB4&lt;=300000,16920,IF(AB4&lt;=420000,31920,IF(AB4&lt;=660000,52920,IF(AB4&lt;=960000,85920,181920))))))-$F4))</f>
        <v/>
      </c>
      <c r="AS4" s="15">
        <f>IF(AC4="","",MAX(0,AC4*IF(AC4&lt;=36000,3%,IF(AC4&lt;=144000,10%,IF(AC4&lt;=300000,20%,IF(AC4&lt;=420000,25%,IF(AC4&lt;=660000,30%,IF(AC4&lt;=960000,35%,45%))))))-IF(AC4&lt;=36000,0,IF(AC4&lt;=144000,2520,IF(AC4&lt;=300000,16920,IF(AC4&lt;=420000,31920,IF(AC4&lt;=660000,52920,IF(AC4&lt;=960000,85920,181920))))))-$F4))</f>
        <v/>
      </c>
      <c r="AT4" s="15">
        <f>IF(AD4="","",MAX(0,AD4*IF(AD4&lt;=36000,3%,IF(AD4&lt;=144000,10%,IF(AD4&lt;=300000,20%,IF(AD4&lt;=420000,25%,IF(AD4&lt;=660000,30%,IF(AD4&lt;=960000,35%,45%))))))-IF(AD4&lt;=36000,0,IF(AD4&lt;=144000,2520,IF(AD4&lt;=300000,16920,IF(AD4&lt;=420000,31920,IF(AD4&lt;=660000,52920,IF(AD4&lt;=960000,85920,181920))))))-$F4))</f>
        <v/>
      </c>
      <c r="AU4" s="15">
        <f>IF(AE4="","",MAX(0,AE4*IF(AE4&lt;=36000,3%,IF(AE4&lt;=144000,10%,IF(AE4&lt;=300000,20%,IF(AE4&lt;=420000,25%,IF(AE4&lt;=660000,30%,IF(AE4&lt;=960000,35%,45%))))))-IF(AE4&lt;=36000,0,IF(AE4&lt;=144000,2520,IF(AE4&lt;=300000,16920,IF(AE4&lt;=420000,31920,IF(AE4&lt;=660000,52920,IF(AE4&lt;=960000,85920,181920))))))-$F4))</f>
        <v/>
      </c>
      <c r="AV4" s="15">
        <f>IF(AF4="","",MAX(0,AF4*IF(AF4&lt;=36000,3%,IF(AF4&lt;=144000,10%,IF(AF4&lt;=300000,20%,IF(AF4&lt;=420000,25%,IF(AF4&lt;=660000,30%,IF(AF4&lt;=960000,35%,45%))))))-IF(AF4&lt;=36000,0,IF(AF4&lt;=144000,2520,IF(AF4&lt;=300000,16920,IF(AF4&lt;=420000,31920,IF(AF4&lt;=660000,52920,IF(AF4&lt;=960000,85920,181920))))))-$F4))</f>
        <v/>
      </c>
      <c r="AW4" s="15">
        <f>IF(AG4="","",MAX(0,AG4*IF(AG4&lt;=36000,3%,IF(AG4&lt;=144000,10%,IF(AG4&lt;=300000,20%,IF(AG4&lt;=420000,25%,IF(AG4&lt;=660000,30%,IF(AG4&lt;=960000,35%,45%))))))-IF(AG4&lt;=36000,0,IF(AG4&lt;=144000,2520,IF(AG4&lt;=300000,16920,IF(AG4&lt;=420000,31920,IF(AG4&lt;=660000,52920,IF(AG4&lt;=960000,85920,181920))))))-$F4))</f>
        <v/>
      </c>
      <c r="AX4" s="15">
        <f>IF(AH4="","",MAX(0,AH4*IF(AH4&lt;=36000,3%,IF(AH4&lt;=144000,10%,IF(AH4&lt;=300000,20%,IF(AH4&lt;=420000,25%,IF(AH4&lt;=660000,30%,IF(AH4&lt;=960000,35%,45%))))))-IF(AH4&lt;=36000,0,IF(AH4&lt;=144000,2520,IF(AH4&lt;=300000,16920,IF(AH4&lt;=420000,31920,IF(AH4&lt;=660000,52920,IF(AH4&lt;=960000,85920,181920))))))-$F4))</f>
        <v/>
      </c>
      <c r="AY4" s="15">
        <f>IF(AI4="","",MAX(0,AI4*IF(AI4&lt;=36000,3%,IF(AI4&lt;=144000,10%,IF(AI4&lt;=300000,20%,IF(AI4&lt;=420000,25%,IF(AI4&lt;=660000,30%,IF(AI4&lt;=960000,35%,45%))))))-IF(AI4&lt;=36000,0,IF(AI4&lt;=144000,2520,IF(AI4&lt;=300000,16920,IF(AI4&lt;=420000,31920,IF(AI4&lt;=660000,52920,IF(AI4&lt;=960000,85920,181920))))))-$F4))</f>
        <v/>
      </c>
      <c r="AZ4" s="15">
        <f>IF(AJ4="","",MAX(0,AJ4*IF(AJ4&lt;=36000,3%,IF(AJ4&lt;=144000,10%,IF(AJ4&lt;=300000,20%,IF(AJ4&lt;=420000,25%,IF(AJ4&lt;=660000,30%,IF(AJ4&lt;=960000,35%,45%))))))-IF(AJ4&lt;=36000,0,IF(AJ4&lt;=144000,2520,IF(AJ4&lt;=300000,16920,IF(AJ4&lt;=420000,31920,IF(AJ4&lt;=660000,52920,IF(AJ4&lt;=960000,85920,181920))))))-$F4))</f>
        <v/>
      </c>
      <c r="BA4" s="15">
        <f>IF(AK4="","",MAX(0,AK4*IF(AK4&lt;=36000,3%,IF(AK4&lt;=144000,10%,IF(AK4&lt;=300000,20%,IF(AK4&lt;=420000,25%,IF(AK4&lt;=660000,30%,IF(AK4&lt;=960000,35%,45%))))))-IF(AK4&lt;=36000,0,IF(AK4&lt;=144000,2520,IF(AK4&lt;=300000,16920,IF(AK4&lt;=420000,31920,IF(AK4&lt;=660000,52920,IF(AK4&lt;=960000,85920,181920))))))-$F4))</f>
        <v/>
      </c>
      <c r="BB4" s="15">
        <f>IF(AL4="","",MAX(0,AL4*IF(AL4&lt;=36000,3%,IF(AL4&lt;=144000,10%,IF(AL4&lt;=300000,20%,IF(AL4&lt;=420000,25%,IF(AL4&lt;=660000,30%,IF(AL4&lt;=960000,35%,45%))))))-IF(AL4&lt;=36000,0,IF(AL4&lt;=144000,2520,IF(AL4&lt;=300000,16920,IF(AL4&lt;=420000,31920,IF(AL4&lt;=660000,52920,IF(AL4&lt;=960000,85920,181920))))))-$F4))</f>
        <v/>
      </c>
      <c r="BC4" s="15">
        <f>IF(AM4="","",MAX(0,AM4*IF(AM4&lt;=36000,3%,IF(AM4&lt;=144000,10%,IF(AM4&lt;=300000,20%,IF(AM4&lt;=420000,25%,IF(AM4&lt;=660000,30%,IF(AM4&lt;=960000,35%,45%))))))-IF(AM4&lt;=36000,0,IF(AM4&lt;=144000,2520,IF(AM4&lt;=300000,16920,IF(AM4&lt;=420000,31920,IF(AM4&lt;=660000,52920,IF(AM4&lt;=960000,85920,181920))))))-$F4))</f>
        <v/>
      </c>
      <c r="BD4" s="15">
        <f>IF(AN4="","",MAX(0,AN4*IF(AN4&lt;=36000,3%,IF(AN4&lt;=144000,10%,IF(AN4&lt;=300000,20%,IF(AN4&lt;=420000,25%,IF(AN4&lt;=660000,30%,IF(AN4&lt;=960000,35%,45%))))))-IF(AN4&lt;=36000,0,IF(AN4&lt;=144000,2520,IF(AN4&lt;=300000,16920,IF(AN4&lt;=420000,31920,IF(AN4&lt;=660000,52920,IF(AN4&lt;=960000,85920,181920))))))-$F4))</f>
        <v/>
      </c>
      <c r="BE4" s="15">
        <f>IF(AO4="","",MAX(0,AO4*IF(AO4&lt;=36000,3%,IF(AO4&lt;=144000,10%,IF(AO4&lt;=300000,20%,IF(AO4&lt;=420000,25%,IF(AO4&lt;=660000,30%,IF(AO4&lt;=960000,35%,45%))))))-IF(AO4&lt;=36000,0,IF(AO4&lt;=144000,2520,IF(AO4&lt;=300000,16920,IF(AO4&lt;=420000,31920,IF(AO4&lt;=660000,52920,IF(AO4&lt;=960000,85920,181920))))))-$F4))</f>
        <v/>
      </c>
      <c r="BF4" s="15">
        <f>IF(J4="","",J4-(IF(J4/(1+IF(J4&lt;100000,0,1%))&lt;100000,0,J4/(1+IF(J4&lt;100000,0,1%))*1%))-(IF(J4/(1+IF(J4&lt;100000,0,1%))&lt;100000,0,J4/(1+IF(J4&lt;100000,0,1%))*1%*5%))-AP4)</f>
        <v/>
      </c>
      <c r="BG4" s="15">
        <f>IF(K4="","",K4-(IF(K4/(1+IF(K4&lt;100000,0,1%))&lt;100000,0,K4/(1+IF(K4&lt;100000,0,1%))*1%))-(IF(K4/(1+IF(K4&lt;100000,0,1%))&lt;100000,0,K4/(1+IF(K4&lt;100000,0,1%))*1%*5%))-AQ4)</f>
        <v/>
      </c>
      <c r="BH4" s="15">
        <f>IF(L4="","",L4-(IF(L4/(1+IF(L4&lt;100000,0,1%))&lt;100000,0,L4/(1+IF(L4&lt;100000,0,1%))*1%))-(IF(L4/(1+IF(L4&lt;100000,0,1%))&lt;100000,0,L4/(1+IF(L4&lt;100000,0,1%))*1%*5%))-AR4)</f>
        <v/>
      </c>
      <c r="BI4" s="15">
        <f>IF(M4="","",M4-(IF(M4/(1+IF(M4&lt;100000,0,1%))&lt;100000,0,M4/(1+IF(M4&lt;100000,0,1%))*1%))-(IF(M4/(1+IF(M4&lt;100000,0,1%))&lt;100000,0,M4/(1+IF(M4&lt;100000,0,1%))*1%*5%))-AS4)</f>
        <v/>
      </c>
      <c r="BJ4" s="15">
        <f>IF(N4="","",N4-(IF(N4/(1+IF(N4&lt;100000,0,1%))&lt;100000,0,N4/(1+IF(N4&lt;100000,0,1%))*1%))-(IF(N4/(1+IF(N4&lt;100000,0,1%))&lt;100000,0,N4/(1+IF(N4&lt;100000,0,1%))*1%*5%))-AT4)</f>
        <v/>
      </c>
      <c r="BK4" s="15">
        <f>IF(O4="","",O4-(IF(O4/(1+IF(O4&lt;100000,0,1%))&lt;100000,0,O4/(1+IF(O4&lt;100000,0,1%))*1%))-(IF(O4/(1+IF(O4&lt;100000,0,1%))&lt;100000,0,O4/(1+IF(O4&lt;100000,0,1%))*1%*5%))-AU4)</f>
        <v/>
      </c>
      <c r="BL4" s="15">
        <f>IF(P4="","",P4-(IF(P4/(1+IF(P4&lt;100000,0,1%))&lt;100000,0,P4/(1+IF(P4&lt;100000,0,1%))*1%))-(IF(P4/(1+IF(P4&lt;100000,0,1%))&lt;100000,0,P4/(1+IF(P4&lt;100000,0,1%))*1%*5%))-AV4)</f>
        <v/>
      </c>
      <c r="BM4" s="15">
        <f>IF(Q4="","",Q4-(IF(Q4/(1+IF(Q4&lt;100000,0,1%))&lt;100000,0,Q4/(1+IF(Q4&lt;100000,0,1%))*1%))-(IF(Q4/(1+IF(Q4&lt;100000,0,1%))&lt;100000,0,Q4/(1+IF(Q4&lt;100000,0,1%))*1%*5%))-AW4)</f>
        <v/>
      </c>
      <c r="BN4" s="15">
        <f>IF(R4="","",R4-(IF(R4/(1+IF(R4&lt;100000,0,1%))&lt;100000,0,R4/(1+IF(R4&lt;100000,0,1%))*1%))-(IF(R4/(1+IF(R4&lt;100000,0,1%))&lt;100000,0,R4/(1+IF(R4&lt;100000,0,1%))*1%*5%))-AX4)</f>
        <v/>
      </c>
      <c r="BO4" s="15">
        <f>IF(S4="","",S4-(IF(S4/(1+IF(S4&lt;100000,0,1%))&lt;100000,0,S4/(1+IF(S4&lt;100000,0,1%))*1%))-(IF(S4/(1+IF(S4&lt;100000,0,1%))&lt;100000,0,S4/(1+IF(S4&lt;100000,0,1%))*1%*5%))-AY4)</f>
        <v/>
      </c>
      <c r="BP4" s="15">
        <f>IF(T4="","",T4-(IF(T4/(1+IF(T4&lt;100000,0,1%))&lt;100000,0,T4/(1+IF(T4&lt;100000,0,1%))*1%))-(IF(T4/(1+IF(T4&lt;100000,0,1%))&lt;100000,0,T4/(1+IF(T4&lt;100000,0,1%))*1%*5%))-AZ4)</f>
        <v/>
      </c>
      <c r="BQ4" s="15">
        <f>IF(U4="","",U4-(IF(U4/(1+IF(U4&lt;100000,0,1%))&lt;100000,0,U4/(1+IF(U4&lt;100000,0,1%))*1%))-(IF(U4/(1+IF(U4&lt;100000,0,1%))&lt;100000,0,U4/(1+IF(U4&lt;100000,0,1%))*1%*5%))-BA4)</f>
        <v/>
      </c>
      <c r="BR4" s="15">
        <f>IF(V4="","",V4-(IF(V4/(1+IF(V4&lt;100000,0,1%))&lt;100000,0,V4/(1+IF(V4&lt;100000,0,1%))*1%))-(IF(V4/(1+IF(V4&lt;100000,0,1%))&lt;100000,0,V4/(1+IF(V4&lt;100000,0,1%))*1%*5%))-BB4)</f>
        <v/>
      </c>
      <c r="BS4" s="15">
        <f>IF(W4="","",W4-(IF(W4/(1+IF(W4&lt;100000,0,1%))&lt;100000,0,W4/(1+IF(W4&lt;100000,0,1%))*1%))-(IF(W4/(1+IF(W4&lt;100000,0,1%))&lt;100000,0,W4/(1+IF(W4&lt;100000,0,1%))*1%*5%))-BC4)</f>
        <v/>
      </c>
      <c r="BT4" s="15">
        <f>IF(X4="","",X4-(IF(X4/(1+IF(X4&lt;100000,0,1%))&lt;100000,0,X4/(1+IF(X4&lt;100000,0,1%))*1%))-(IF(X4/(1+IF(X4&lt;100000,0,1%))&lt;100000,0,X4/(1+IF(X4&lt;100000,0,1%))*1%*5%))-BD4)</f>
        <v/>
      </c>
      <c r="BU4" s="15">
        <f>IF(Y4="","",Y4-(IF(Y4/(1+IF(Y4&lt;100000,0,1%))&lt;100000,0,Y4/(1+IF(Y4&lt;100000,0,1%))*1%))-(IF(Y4/(1+IF(Y4&lt;100000,0,1%))&lt;100000,0,Y4/(1+IF(Y4&lt;100000,0,1%))*1%*5%))-BE4)</f>
        <v/>
      </c>
      <c r="BV4" s="15">
        <f>IF(BF4="","",ABS(BF4-$B4))</f>
        <v/>
      </c>
      <c r="BW4" s="15">
        <f>IF(BG4="","",ABS(BG4-$B4))</f>
        <v/>
      </c>
      <c r="BX4" s="15">
        <f>IF(BH4="","",ABS(BH4-$B4))</f>
        <v/>
      </c>
      <c r="BY4" s="15">
        <f>IF(BI4="","",ABS(BI4-$B4))</f>
        <v/>
      </c>
      <c r="BZ4" s="15">
        <f>IF(BJ4="","",ABS(BJ4-$B4))</f>
        <v/>
      </c>
      <c r="CA4" s="15">
        <f>IF(BK4="","",ABS(BK4-$B4))</f>
        <v/>
      </c>
      <c r="CB4" s="15">
        <f>IF(BL4="","",ABS(BL4-$B4))</f>
        <v/>
      </c>
      <c r="CC4" s="15">
        <f>IF(BM4="","",ABS(BM4-$B4))</f>
        <v/>
      </c>
      <c r="CD4" s="15">
        <f>IF(BN4="","",ABS(BN4-$B4))</f>
        <v/>
      </c>
      <c r="CE4" s="15">
        <f>IF(BO4="","",ABS(BO4-$B4))</f>
        <v/>
      </c>
      <c r="CF4" s="15">
        <f>IF(BP4="","",ABS(BP4-$B4))</f>
        <v/>
      </c>
      <c r="CG4" s="15">
        <f>IF(BQ4="","",ABS(BQ4-$B4))</f>
        <v/>
      </c>
      <c r="CH4" s="15">
        <f>IF(BR4="","",ABS(BR4-$B4))</f>
        <v/>
      </c>
      <c r="CI4" s="15">
        <f>IF(BS4="","",ABS(BS4-$B4))</f>
        <v/>
      </c>
      <c r="CJ4" s="15">
        <f>IF(BT4="","",ABS(BT4-$B4))</f>
        <v/>
      </c>
      <c r="CK4" s="15">
        <f>IF(BU4="","",ABS(BU4-$B4))</f>
        <v/>
      </c>
      <c r="CL4" s="14">
        <f>IF(J4="","",AND(J4&gt;0,J4&lt;101000,BV4&lt;0.05,AP4=0))</f>
        <v/>
      </c>
      <c r="CM4" s="14">
        <f>IF(K4="","",AND(K4&gt;0,K4&gt;=101000,BW4&lt;0.05,AQ4=0))</f>
        <v/>
      </c>
      <c r="CN4" s="14">
        <f>IF(L4="","",AND(L4&gt;0,L4&lt;101000,BX4&lt;0.05,AR4&gt;0))</f>
        <v/>
      </c>
      <c r="CO4" s="14">
        <f>IF(M4="","",AND(M4&gt;0,M4&lt;101000,BY4&lt;0.05,AS4&gt;0))</f>
        <v/>
      </c>
      <c r="CP4" s="14">
        <f>IF(N4="","",AND(N4&gt;0,N4&lt;101000,BZ4&lt;0.05,AT4&gt;0))</f>
        <v/>
      </c>
      <c r="CQ4" s="14">
        <f>IF(O4="","",AND(O4&gt;0,O4&lt;101000,CA4&lt;0.05,AU4&gt;0))</f>
        <v/>
      </c>
      <c r="CR4" s="14">
        <f>IF(P4="","",AND(P4&gt;0,P4&lt;101000,CB4&lt;0.05,AV4&gt;0))</f>
        <v/>
      </c>
      <c r="CS4" s="14">
        <f>IF(Q4="","",AND(Q4&gt;0,Q4&lt;101000,CC4&lt;0.05,AW4&gt;0))</f>
        <v/>
      </c>
      <c r="CT4" s="14">
        <f>IF(R4="","",AND(R4&gt;0,R4&lt;101000,CD4&lt;0.05,AX4&gt;0))</f>
        <v/>
      </c>
      <c r="CU4" s="14">
        <f>IF(S4="","",AND(S4&gt;0,S4&gt;=101000,CE4&lt;0.05,AY4&gt;0))</f>
        <v/>
      </c>
      <c r="CV4" s="14">
        <f>IF(T4="","",AND(T4&gt;0,T4&gt;=101000,CF4&lt;0.05,AZ4&gt;0))</f>
        <v/>
      </c>
      <c r="CW4" s="14">
        <f>IF(U4="","",AND(U4&gt;0,U4&gt;=101000,CG4&lt;0.05,BA4&gt;0))</f>
        <v/>
      </c>
      <c r="CX4" s="14">
        <f>IF(V4="","",AND(V4&gt;0,V4&gt;=101000,CH4&lt;0.05,BB4&gt;0))</f>
        <v/>
      </c>
      <c r="CY4" s="14">
        <f>IF(W4="","",AND(W4&gt;0,W4&gt;=101000,CI4&lt;0.05,BC4&gt;0))</f>
        <v/>
      </c>
      <c r="CZ4" s="14">
        <f>IF(X4="","",AND(X4&gt;0,X4&gt;=101000,CJ4&lt;0.05,BD4&gt;0))</f>
        <v/>
      </c>
      <c r="DA4" s="14">
        <f>IF(Y4="","",AND(Y4&gt;0,Y4&gt;=101000,CK4&lt;0.05,BE4&gt;0))</f>
        <v/>
      </c>
      <c r="DB4" s="14">
        <f>IFERROR(MATCH(TRUE,CL4:DA4,0),"")</f>
        <v/>
      </c>
      <c r="DC4" s="15">
        <f>IF(DB4="","",INDEX(J4:Y4,DB4))</f>
        <v/>
      </c>
      <c r="DD4" s="15">
        <f>IF(DB4="","",INDEX(BF4:BU4,DB4))</f>
        <v/>
      </c>
    </row>
    <row r="5">
      <c r="A5" s="14" t="n">
        <v>4</v>
      </c>
      <c r="B5" s="15">
        <f>'月度计算'!C8</f>
        <v/>
      </c>
      <c r="C5" s="14">
        <f>'月度计算'!D8</f>
        <v/>
      </c>
      <c r="D5" s="15">
        <f>'月度计算'!B8</f>
        <v/>
      </c>
      <c r="E5" s="14">
        <f>'月度计算'!E8</f>
        <v/>
      </c>
      <c r="F5" s="15">
        <f>'月度计算'!F8</f>
        <v/>
      </c>
      <c r="G5" s="15">
        <f>'月度计算'!AB8</f>
        <v/>
      </c>
      <c r="H5" s="15">
        <f>'月度计算'!AC8</f>
        <v/>
      </c>
      <c r="I5" s="15">
        <f>IF(C5=0,"",G5*80%-5000*E5-H5)</f>
        <v/>
      </c>
      <c r="J5" s="15">
        <f>IF(OR($C5=0,$B5="",$D5&lt;&gt;""),"",$B5/(1-(0)))</f>
        <v/>
      </c>
      <c r="K5" s="15">
        <f>IF(OR($C5=0,$B5="",$D5&lt;&gt;""),"",$B5/(1-(21/2020)))</f>
        <v/>
      </c>
      <c r="L5" s="15">
        <f>IF(OR($C5=0,$B5="",$D5&lt;&gt;""),"",($B5-0-$F5+$I5*0.03)/(1-(0)-(0.8)*0.03))</f>
        <v/>
      </c>
      <c r="M5" s="15">
        <f>IF(OR($C5=0,$B5="",$D5&lt;&gt;""),"",($B5-2520-$F5+$I5*0.1)/(1-(0)-(0.8)*0.1))</f>
        <v/>
      </c>
      <c r="N5" s="15">
        <f>IF(OR($C5=0,$B5="",$D5&lt;&gt;""),"",($B5-16920-$F5+$I5*0.2)/(1-(0)-(0.8)*0.2))</f>
        <v/>
      </c>
      <c r="O5" s="15">
        <f>IF(OR($C5=0,$B5="",$D5&lt;&gt;""),"",($B5-31920-$F5+$I5*0.25)/(1-(0)-(0.8)*0.25))</f>
        <v/>
      </c>
      <c r="P5" s="15">
        <f>IF(OR($C5=0,$B5="",$D5&lt;&gt;""),"",($B5-52920-$F5+$I5*0.3)/(1-(0)-(0.8)*0.3))</f>
        <v/>
      </c>
      <c r="Q5" s="15">
        <f>IF(OR($C5=0,$B5="",$D5&lt;&gt;""),"",($B5-85920-$F5+$I5*0.35)/(1-(0)-(0.8)*0.35))</f>
        <v/>
      </c>
      <c r="R5" s="15">
        <f>IF(OR($C5=0,$B5="",$D5&lt;&gt;""),"",($B5-181920-$F5+$I5*0.45)/(1-(0)-(0.8)*0.45))</f>
        <v/>
      </c>
      <c r="S5" s="15">
        <f>IF(OR($C5=0,$B5="",$D5&lt;&gt;""),"",($B5-0-$F5+$I5*0.03)/(1-(21/2020)-(1599/2020)*0.03))</f>
        <v/>
      </c>
      <c r="T5" s="15">
        <f>IF(OR($C5=0,$B5="",$D5&lt;&gt;""),"",($B5-2520-$F5+$I5*0.1)/(1-(21/2020)-(1599/2020)*0.1))</f>
        <v/>
      </c>
      <c r="U5" s="15">
        <f>IF(OR($C5=0,$B5="",$D5&lt;&gt;""),"",($B5-16920-$F5+$I5*0.2)/(1-(21/2020)-(1599/2020)*0.2))</f>
        <v/>
      </c>
      <c r="V5" s="15">
        <f>IF(OR($C5=0,$B5="",$D5&lt;&gt;""),"",($B5-31920-$F5+$I5*0.25)/(1-(21/2020)-(1599/2020)*0.25))</f>
        <v/>
      </c>
      <c r="W5" s="15">
        <f>IF(OR($C5=0,$B5="",$D5&lt;&gt;""),"",($B5-52920-$F5+$I5*0.3)/(1-(21/2020)-(1599/2020)*0.3))</f>
        <v/>
      </c>
      <c r="X5" s="15">
        <f>IF(OR($C5=0,$B5="",$D5&lt;&gt;""),"",($B5-85920-$F5+$I5*0.35)/(1-(21/2020)-(1599/2020)*0.35))</f>
        <v/>
      </c>
      <c r="Y5" s="15">
        <f>IF(OR($C5=0,$B5="",$D5&lt;&gt;""),"",($B5-181920-$F5+$I5*0.45)/(1-(21/2020)-(1599/2020)*0.45))</f>
        <v/>
      </c>
      <c r="Z5" s="15">
        <f>IF(J5="","",($G5+J5-(IF(J5/(1+IF(J5&lt;100000,0,1%))&lt;100000,0,J5/(1+IF(J5&lt;100000,0,1%))*1%)))*80%-5000*$E5-($H5+(IF(J5/(1+IF(J5&lt;100000,0,1%))&lt;100000,0,J5/(1+IF(J5&lt;100000,0,1%))*1%*5%))))</f>
        <v/>
      </c>
      <c r="AA5" s="15">
        <f>IF(K5="","",($G5+K5-(IF(K5/(1+IF(K5&lt;100000,0,1%))&lt;100000,0,K5/(1+IF(K5&lt;100000,0,1%))*1%)))*80%-5000*$E5-($H5+(IF(K5/(1+IF(K5&lt;100000,0,1%))&lt;100000,0,K5/(1+IF(K5&lt;100000,0,1%))*1%*5%))))</f>
        <v/>
      </c>
      <c r="AB5" s="15">
        <f>IF(L5="","",($G5+L5-(IF(L5/(1+IF(L5&lt;100000,0,1%))&lt;100000,0,L5/(1+IF(L5&lt;100000,0,1%))*1%)))*80%-5000*$E5-($H5+(IF(L5/(1+IF(L5&lt;100000,0,1%))&lt;100000,0,L5/(1+IF(L5&lt;100000,0,1%))*1%*5%))))</f>
        <v/>
      </c>
      <c r="AC5" s="15">
        <f>IF(M5="","",($G5+M5-(IF(M5/(1+IF(M5&lt;100000,0,1%))&lt;100000,0,M5/(1+IF(M5&lt;100000,0,1%))*1%)))*80%-5000*$E5-($H5+(IF(M5/(1+IF(M5&lt;100000,0,1%))&lt;100000,0,M5/(1+IF(M5&lt;100000,0,1%))*1%*5%))))</f>
        <v/>
      </c>
      <c r="AD5" s="15">
        <f>IF(N5="","",($G5+N5-(IF(N5/(1+IF(N5&lt;100000,0,1%))&lt;100000,0,N5/(1+IF(N5&lt;100000,0,1%))*1%)))*80%-5000*$E5-($H5+(IF(N5/(1+IF(N5&lt;100000,0,1%))&lt;100000,0,N5/(1+IF(N5&lt;100000,0,1%))*1%*5%))))</f>
        <v/>
      </c>
      <c r="AE5" s="15">
        <f>IF(O5="","",($G5+O5-(IF(O5/(1+IF(O5&lt;100000,0,1%))&lt;100000,0,O5/(1+IF(O5&lt;100000,0,1%))*1%)))*80%-5000*$E5-($H5+(IF(O5/(1+IF(O5&lt;100000,0,1%))&lt;100000,0,O5/(1+IF(O5&lt;100000,0,1%))*1%*5%))))</f>
        <v/>
      </c>
      <c r="AF5" s="15">
        <f>IF(P5="","",($G5+P5-(IF(P5/(1+IF(P5&lt;100000,0,1%))&lt;100000,0,P5/(1+IF(P5&lt;100000,0,1%))*1%)))*80%-5000*$E5-($H5+(IF(P5/(1+IF(P5&lt;100000,0,1%))&lt;100000,0,P5/(1+IF(P5&lt;100000,0,1%))*1%*5%))))</f>
        <v/>
      </c>
      <c r="AG5" s="15">
        <f>IF(Q5="","",($G5+Q5-(IF(Q5/(1+IF(Q5&lt;100000,0,1%))&lt;100000,0,Q5/(1+IF(Q5&lt;100000,0,1%))*1%)))*80%-5000*$E5-($H5+(IF(Q5/(1+IF(Q5&lt;100000,0,1%))&lt;100000,0,Q5/(1+IF(Q5&lt;100000,0,1%))*1%*5%))))</f>
        <v/>
      </c>
      <c r="AH5" s="15">
        <f>IF(R5="","",($G5+R5-(IF(R5/(1+IF(R5&lt;100000,0,1%))&lt;100000,0,R5/(1+IF(R5&lt;100000,0,1%))*1%)))*80%-5000*$E5-($H5+(IF(R5/(1+IF(R5&lt;100000,0,1%))&lt;100000,0,R5/(1+IF(R5&lt;100000,0,1%))*1%*5%))))</f>
        <v/>
      </c>
      <c r="AI5" s="15">
        <f>IF(S5="","",($G5+S5-(IF(S5/(1+IF(S5&lt;100000,0,1%))&lt;100000,0,S5/(1+IF(S5&lt;100000,0,1%))*1%)))*80%-5000*$E5-($H5+(IF(S5/(1+IF(S5&lt;100000,0,1%))&lt;100000,0,S5/(1+IF(S5&lt;100000,0,1%))*1%*5%))))</f>
        <v/>
      </c>
      <c r="AJ5" s="15">
        <f>IF(T5="","",($G5+T5-(IF(T5/(1+IF(T5&lt;100000,0,1%))&lt;100000,0,T5/(1+IF(T5&lt;100000,0,1%))*1%)))*80%-5000*$E5-($H5+(IF(T5/(1+IF(T5&lt;100000,0,1%))&lt;100000,0,T5/(1+IF(T5&lt;100000,0,1%))*1%*5%))))</f>
        <v/>
      </c>
      <c r="AK5" s="15">
        <f>IF(U5="","",($G5+U5-(IF(U5/(1+IF(U5&lt;100000,0,1%))&lt;100000,0,U5/(1+IF(U5&lt;100000,0,1%))*1%)))*80%-5000*$E5-($H5+(IF(U5/(1+IF(U5&lt;100000,0,1%))&lt;100000,0,U5/(1+IF(U5&lt;100000,0,1%))*1%*5%))))</f>
        <v/>
      </c>
      <c r="AL5" s="15">
        <f>IF(V5="","",($G5+V5-(IF(V5/(1+IF(V5&lt;100000,0,1%))&lt;100000,0,V5/(1+IF(V5&lt;100000,0,1%))*1%)))*80%-5000*$E5-($H5+(IF(V5/(1+IF(V5&lt;100000,0,1%))&lt;100000,0,V5/(1+IF(V5&lt;100000,0,1%))*1%*5%))))</f>
        <v/>
      </c>
      <c r="AM5" s="15">
        <f>IF(W5="","",($G5+W5-(IF(W5/(1+IF(W5&lt;100000,0,1%))&lt;100000,0,W5/(1+IF(W5&lt;100000,0,1%))*1%)))*80%-5000*$E5-($H5+(IF(W5/(1+IF(W5&lt;100000,0,1%))&lt;100000,0,W5/(1+IF(W5&lt;100000,0,1%))*1%*5%))))</f>
        <v/>
      </c>
      <c r="AN5" s="15">
        <f>IF(X5="","",($G5+X5-(IF(X5/(1+IF(X5&lt;100000,0,1%))&lt;100000,0,X5/(1+IF(X5&lt;100000,0,1%))*1%)))*80%-5000*$E5-($H5+(IF(X5/(1+IF(X5&lt;100000,0,1%))&lt;100000,0,X5/(1+IF(X5&lt;100000,0,1%))*1%*5%))))</f>
        <v/>
      </c>
      <c r="AO5" s="15">
        <f>IF(Y5="","",($G5+Y5-(IF(Y5/(1+IF(Y5&lt;100000,0,1%))&lt;100000,0,Y5/(1+IF(Y5&lt;100000,0,1%))*1%)))*80%-5000*$E5-($H5+(IF(Y5/(1+IF(Y5&lt;100000,0,1%))&lt;100000,0,Y5/(1+IF(Y5&lt;100000,0,1%))*1%*5%))))</f>
        <v/>
      </c>
      <c r="AP5" s="15">
        <f>IF(Z5="","",MAX(0,Z5*IF(Z5&lt;=36000,3%,IF(Z5&lt;=144000,10%,IF(Z5&lt;=300000,20%,IF(Z5&lt;=420000,25%,IF(Z5&lt;=660000,30%,IF(Z5&lt;=960000,35%,45%))))))-IF(Z5&lt;=36000,0,IF(Z5&lt;=144000,2520,IF(Z5&lt;=300000,16920,IF(Z5&lt;=420000,31920,IF(Z5&lt;=660000,52920,IF(Z5&lt;=960000,85920,181920))))))-$F5))</f>
        <v/>
      </c>
      <c r="AQ5" s="15">
        <f>IF(AA5="","",MAX(0,AA5*IF(AA5&lt;=36000,3%,IF(AA5&lt;=144000,10%,IF(AA5&lt;=300000,20%,IF(AA5&lt;=420000,25%,IF(AA5&lt;=660000,30%,IF(AA5&lt;=960000,35%,45%))))))-IF(AA5&lt;=36000,0,IF(AA5&lt;=144000,2520,IF(AA5&lt;=300000,16920,IF(AA5&lt;=420000,31920,IF(AA5&lt;=660000,52920,IF(AA5&lt;=960000,85920,181920))))))-$F5))</f>
        <v/>
      </c>
      <c r="AR5" s="15">
        <f>IF(AB5="","",MAX(0,AB5*IF(AB5&lt;=36000,3%,IF(AB5&lt;=144000,10%,IF(AB5&lt;=300000,20%,IF(AB5&lt;=420000,25%,IF(AB5&lt;=660000,30%,IF(AB5&lt;=960000,35%,45%))))))-IF(AB5&lt;=36000,0,IF(AB5&lt;=144000,2520,IF(AB5&lt;=300000,16920,IF(AB5&lt;=420000,31920,IF(AB5&lt;=660000,52920,IF(AB5&lt;=960000,85920,181920))))))-$F5))</f>
        <v/>
      </c>
      <c r="AS5" s="15">
        <f>IF(AC5="","",MAX(0,AC5*IF(AC5&lt;=36000,3%,IF(AC5&lt;=144000,10%,IF(AC5&lt;=300000,20%,IF(AC5&lt;=420000,25%,IF(AC5&lt;=660000,30%,IF(AC5&lt;=960000,35%,45%))))))-IF(AC5&lt;=36000,0,IF(AC5&lt;=144000,2520,IF(AC5&lt;=300000,16920,IF(AC5&lt;=420000,31920,IF(AC5&lt;=660000,52920,IF(AC5&lt;=960000,85920,181920))))))-$F5))</f>
        <v/>
      </c>
      <c r="AT5" s="15">
        <f>IF(AD5="","",MAX(0,AD5*IF(AD5&lt;=36000,3%,IF(AD5&lt;=144000,10%,IF(AD5&lt;=300000,20%,IF(AD5&lt;=420000,25%,IF(AD5&lt;=660000,30%,IF(AD5&lt;=960000,35%,45%))))))-IF(AD5&lt;=36000,0,IF(AD5&lt;=144000,2520,IF(AD5&lt;=300000,16920,IF(AD5&lt;=420000,31920,IF(AD5&lt;=660000,52920,IF(AD5&lt;=960000,85920,181920))))))-$F5))</f>
        <v/>
      </c>
      <c r="AU5" s="15">
        <f>IF(AE5="","",MAX(0,AE5*IF(AE5&lt;=36000,3%,IF(AE5&lt;=144000,10%,IF(AE5&lt;=300000,20%,IF(AE5&lt;=420000,25%,IF(AE5&lt;=660000,30%,IF(AE5&lt;=960000,35%,45%))))))-IF(AE5&lt;=36000,0,IF(AE5&lt;=144000,2520,IF(AE5&lt;=300000,16920,IF(AE5&lt;=420000,31920,IF(AE5&lt;=660000,52920,IF(AE5&lt;=960000,85920,181920))))))-$F5))</f>
        <v/>
      </c>
      <c r="AV5" s="15">
        <f>IF(AF5="","",MAX(0,AF5*IF(AF5&lt;=36000,3%,IF(AF5&lt;=144000,10%,IF(AF5&lt;=300000,20%,IF(AF5&lt;=420000,25%,IF(AF5&lt;=660000,30%,IF(AF5&lt;=960000,35%,45%))))))-IF(AF5&lt;=36000,0,IF(AF5&lt;=144000,2520,IF(AF5&lt;=300000,16920,IF(AF5&lt;=420000,31920,IF(AF5&lt;=660000,52920,IF(AF5&lt;=960000,85920,181920))))))-$F5))</f>
        <v/>
      </c>
      <c r="AW5" s="15">
        <f>IF(AG5="","",MAX(0,AG5*IF(AG5&lt;=36000,3%,IF(AG5&lt;=144000,10%,IF(AG5&lt;=300000,20%,IF(AG5&lt;=420000,25%,IF(AG5&lt;=660000,30%,IF(AG5&lt;=960000,35%,45%))))))-IF(AG5&lt;=36000,0,IF(AG5&lt;=144000,2520,IF(AG5&lt;=300000,16920,IF(AG5&lt;=420000,31920,IF(AG5&lt;=660000,52920,IF(AG5&lt;=960000,85920,181920))))))-$F5))</f>
        <v/>
      </c>
      <c r="AX5" s="15">
        <f>IF(AH5="","",MAX(0,AH5*IF(AH5&lt;=36000,3%,IF(AH5&lt;=144000,10%,IF(AH5&lt;=300000,20%,IF(AH5&lt;=420000,25%,IF(AH5&lt;=660000,30%,IF(AH5&lt;=960000,35%,45%))))))-IF(AH5&lt;=36000,0,IF(AH5&lt;=144000,2520,IF(AH5&lt;=300000,16920,IF(AH5&lt;=420000,31920,IF(AH5&lt;=660000,52920,IF(AH5&lt;=960000,85920,181920))))))-$F5))</f>
        <v/>
      </c>
      <c r="AY5" s="15">
        <f>IF(AI5="","",MAX(0,AI5*IF(AI5&lt;=36000,3%,IF(AI5&lt;=144000,10%,IF(AI5&lt;=300000,20%,IF(AI5&lt;=420000,25%,IF(AI5&lt;=660000,30%,IF(AI5&lt;=960000,35%,45%))))))-IF(AI5&lt;=36000,0,IF(AI5&lt;=144000,2520,IF(AI5&lt;=300000,16920,IF(AI5&lt;=420000,31920,IF(AI5&lt;=660000,52920,IF(AI5&lt;=960000,85920,181920))))))-$F5))</f>
        <v/>
      </c>
      <c r="AZ5" s="15">
        <f>IF(AJ5="","",MAX(0,AJ5*IF(AJ5&lt;=36000,3%,IF(AJ5&lt;=144000,10%,IF(AJ5&lt;=300000,20%,IF(AJ5&lt;=420000,25%,IF(AJ5&lt;=660000,30%,IF(AJ5&lt;=960000,35%,45%))))))-IF(AJ5&lt;=36000,0,IF(AJ5&lt;=144000,2520,IF(AJ5&lt;=300000,16920,IF(AJ5&lt;=420000,31920,IF(AJ5&lt;=660000,52920,IF(AJ5&lt;=960000,85920,181920))))))-$F5))</f>
        <v/>
      </c>
      <c r="BA5" s="15">
        <f>IF(AK5="","",MAX(0,AK5*IF(AK5&lt;=36000,3%,IF(AK5&lt;=144000,10%,IF(AK5&lt;=300000,20%,IF(AK5&lt;=420000,25%,IF(AK5&lt;=660000,30%,IF(AK5&lt;=960000,35%,45%))))))-IF(AK5&lt;=36000,0,IF(AK5&lt;=144000,2520,IF(AK5&lt;=300000,16920,IF(AK5&lt;=420000,31920,IF(AK5&lt;=660000,52920,IF(AK5&lt;=960000,85920,181920))))))-$F5))</f>
        <v/>
      </c>
      <c r="BB5" s="15">
        <f>IF(AL5="","",MAX(0,AL5*IF(AL5&lt;=36000,3%,IF(AL5&lt;=144000,10%,IF(AL5&lt;=300000,20%,IF(AL5&lt;=420000,25%,IF(AL5&lt;=660000,30%,IF(AL5&lt;=960000,35%,45%))))))-IF(AL5&lt;=36000,0,IF(AL5&lt;=144000,2520,IF(AL5&lt;=300000,16920,IF(AL5&lt;=420000,31920,IF(AL5&lt;=660000,52920,IF(AL5&lt;=960000,85920,181920))))))-$F5))</f>
        <v/>
      </c>
      <c r="BC5" s="15">
        <f>IF(AM5="","",MAX(0,AM5*IF(AM5&lt;=36000,3%,IF(AM5&lt;=144000,10%,IF(AM5&lt;=300000,20%,IF(AM5&lt;=420000,25%,IF(AM5&lt;=660000,30%,IF(AM5&lt;=960000,35%,45%))))))-IF(AM5&lt;=36000,0,IF(AM5&lt;=144000,2520,IF(AM5&lt;=300000,16920,IF(AM5&lt;=420000,31920,IF(AM5&lt;=660000,52920,IF(AM5&lt;=960000,85920,181920))))))-$F5))</f>
        <v/>
      </c>
      <c r="BD5" s="15">
        <f>IF(AN5="","",MAX(0,AN5*IF(AN5&lt;=36000,3%,IF(AN5&lt;=144000,10%,IF(AN5&lt;=300000,20%,IF(AN5&lt;=420000,25%,IF(AN5&lt;=660000,30%,IF(AN5&lt;=960000,35%,45%))))))-IF(AN5&lt;=36000,0,IF(AN5&lt;=144000,2520,IF(AN5&lt;=300000,16920,IF(AN5&lt;=420000,31920,IF(AN5&lt;=660000,52920,IF(AN5&lt;=960000,85920,181920))))))-$F5))</f>
        <v/>
      </c>
      <c r="BE5" s="15">
        <f>IF(AO5="","",MAX(0,AO5*IF(AO5&lt;=36000,3%,IF(AO5&lt;=144000,10%,IF(AO5&lt;=300000,20%,IF(AO5&lt;=420000,25%,IF(AO5&lt;=660000,30%,IF(AO5&lt;=960000,35%,45%))))))-IF(AO5&lt;=36000,0,IF(AO5&lt;=144000,2520,IF(AO5&lt;=300000,16920,IF(AO5&lt;=420000,31920,IF(AO5&lt;=660000,52920,IF(AO5&lt;=960000,85920,181920))))))-$F5))</f>
        <v/>
      </c>
      <c r="BF5" s="15">
        <f>IF(J5="","",J5-(IF(J5/(1+IF(J5&lt;100000,0,1%))&lt;100000,0,J5/(1+IF(J5&lt;100000,0,1%))*1%))-(IF(J5/(1+IF(J5&lt;100000,0,1%))&lt;100000,0,J5/(1+IF(J5&lt;100000,0,1%))*1%*5%))-AP5)</f>
        <v/>
      </c>
      <c r="BG5" s="15">
        <f>IF(K5="","",K5-(IF(K5/(1+IF(K5&lt;100000,0,1%))&lt;100000,0,K5/(1+IF(K5&lt;100000,0,1%))*1%))-(IF(K5/(1+IF(K5&lt;100000,0,1%))&lt;100000,0,K5/(1+IF(K5&lt;100000,0,1%))*1%*5%))-AQ5)</f>
        <v/>
      </c>
      <c r="BH5" s="15">
        <f>IF(L5="","",L5-(IF(L5/(1+IF(L5&lt;100000,0,1%))&lt;100000,0,L5/(1+IF(L5&lt;100000,0,1%))*1%))-(IF(L5/(1+IF(L5&lt;100000,0,1%))&lt;100000,0,L5/(1+IF(L5&lt;100000,0,1%))*1%*5%))-AR5)</f>
        <v/>
      </c>
      <c r="BI5" s="15">
        <f>IF(M5="","",M5-(IF(M5/(1+IF(M5&lt;100000,0,1%))&lt;100000,0,M5/(1+IF(M5&lt;100000,0,1%))*1%))-(IF(M5/(1+IF(M5&lt;100000,0,1%))&lt;100000,0,M5/(1+IF(M5&lt;100000,0,1%))*1%*5%))-AS5)</f>
        <v/>
      </c>
      <c r="BJ5" s="15">
        <f>IF(N5="","",N5-(IF(N5/(1+IF(N5&lt;100000,0,1%))&lt;100000,0,N5/(1+IF(N5&lt;100000,0,1%))*1%))-(IF(N5/(1+IF(N5&lt;100000,0,1%))&lt;100000,0,N5/(1+IF(N5&lt;100000,0,1%))*1%*5%))-AT5)</f>
        <v/>
      </c>
      <c r="BK5" s="15">
        <f>IF(O5="","",O5-(IF(O5/(1+IF(O5&lt;100000,0,1%))&lt;100000,0,O5/(1+IF(O5&lt;100000,0,1%))*1%))-(IF(O5/(1+IF(O5&lt;100000,0,1%))&lt;100000,0,O5/(1+IF(O5&lt;100000,0,1%))*1%*5%))-AU5)</f>
        <v/>
      </c>
      <c r="BL5" s="15">
        <f>IF(P5="","",P5-(IF(P5/(1+IF(P5&lt;100000,0,1%))&lt;100000,0,P5/(1+IF(P5&lt;100000,0,1%))*1%))-(IF(P5/(1+IF(P5&lt;100000,0,1%))&lt;100000,0,P5/(1+IF(P5&lt;100000,0,1%))*1%*5%))-AV5)</f>
        <v/>
      </c>
      <c r="BM5" s="15">
        <f>IF(Q5="","",Q5-(IF(Q5/(1+IF(Q5&lt;100000,0,1%))&lt;100000,0,Q5/(1+IF(Q5&lt;100000,0,1%))*1%))-(IF(Q5/(1+IF(Q5&lt;100000,0,1%))&lt;100000,0,Q5/(1+IF(Q5&lt;100000,0,1%))*1%*5%))-AW5)</f>
        <v/>
      </c>
      <c r="BN5" s="15">
        <f>IF(R5="","",R5-(IF(R5/(1+IF(R5&lt;100000,0,1%))&lt;100000,0,R5/(1+IF(R5&lt;100000,0,1%))*1%))-(IF(R5/(1+IF(R5&lt;100000,0,1%))&lt;100000,0,R5/(1+IF(R5&lt;100000,0,1%))*1%*5%))-AX5)</f>
        <v/>
      </c>
      <c r="BO5" s="15">
        <f>IF(S5="","",S5-(IF(S5/(1+IF(S5&lt;100000,0,1%))&lt;100000,0,S5/(1+IF(S5&lt;100000,0,1%))*1%))-(IF(S5/(1+IF(S5&lt;100000,0,1%))&lt;100000,0,S5/(1+IF(S5&lt;100000,0,1%))*1%*5%))-AY5)</f>
        <v/>
      </c>
      <c r="BP5" s="15">
        <f>IF(T5="","",T5-(IF(T5/(1+IF(T5&lt;100000,0,1%))&lt;100000,0,T5/(1+IF(T5&lt;100000,0,1%))*1%))-(IF(T5/(1+IF(T5&lt;100000,0,1%))&lt;100000,0,T5/(1+IF(T5&lt;100000,0,1%))*1%*5%))-AZ5)</f>
        <v/>
      </c>
      <c r="BQ5" s="15">
        <f>IF(U5="","",U5-(IF(U5/(1+IF(U5&lt;100000,0,1%))&lt;100000,0,U5/(1+IF(U5&lt;100000,0,1%))*1%))-(IF(U5/(1+IF(U5&lt;100000,0,1%))&lt;100000,0,U5/(1+IF(U5&lt;100000,0,1%))*1%*5%))-BA5)</f>
        <v/>
      </c>
      <c r="BR5" s="15">
        <f>IF(V5="","",V5-(IF(V5/(1+IF(V5&lt;100000,0,1%))&lt;100000,0,V5/(1+IF(V5&lt;100000,0,1%))*1%))-(IF(V5/(1+IF(V5&lt;100000,0,1%))&lt;100000,0,V5/(1+IF(V5&lt;100000,0,1%))*1%*5%))-BB5)</f>
        <v/>
      </c>
      <c r="BS5" s="15">
        <f>IF(W5="","",W5-(IF(W5/(1+IF(W5&lt;100000,0,1%))&lt;100000,0,W5/(1+IF(W5&lt;100000,0,1%))*1%))-(IF(W5/(1+IF(W5&lt;100000,0,1%))&lt;100000,0,W5/(1+IF(W5&lt;100000,0,1%))*1%*5%))-BC5)</f>
        <v/>
      </c>
      <c r="BT5" s="15">
        <f>IF(X5="","",X5-(IF(X5/(1+IF(X5&lt;100000,0,1%))&lt;100000,0,X5/(1+IF(X5&lt;100000,0,1%))*1%))-(IF(X5/(1+IF(X5&lt;100000,0,1%))&lt;100000,0,X5/(1+IF(X5&lt;100000,0,1%))*1%*5%))-BD5)</f>
        <v/>
      </c>
      <c r="BU5" s="15">
        <f>IF(Y5="","",Y5-(IF(Y5/(1+IF(Y5&lt;100000,0,1%))&lt;100000,0,Y5/(1+IF(Y5&lt;100000,0,1%))*1%))-(IF(Y5/(1+IF(Y5&lt;100000,0,1%))&lt;100000,0,Y5/(1+IF(Y5&lt;100000,0,1%))*1%*5%))-BE5)</f>
        <v/>
      </c>
      <c r="BV5" s="15">
        <f>IF(BF5="","",ABS(BF5-$B5))</f>
        <v/>
      </c>
      <c r="BW5" s="15">
        <f>IF(BG5="","",ABS(BG5-$B5))</f>
        <v/>
      </c>
      <c r="BX5" s="15">
        <f>IF(BH5="","",ABS(BH5-$B5))</f>
        <v/>
      </c>
      <c r="BY5" s="15">
        <f>IF(BI5="","",ABS(BI5-$B5))</f>
        <v/>
      </c>
      <c r="BZ5" s="15">
        <f>IF(BJ5="","",ABS(BJ5-$B5))</f>
        <v/>
      </c>
      <c r="CA5" s="15">
        <f>IF(BK5="","",ABS(BK5-$B5))</f>
        <v/>
      </c>
      <c r="CB5" s="15">
        <f>IF(BL5="","",ABS(BL5-$B5))</f>
        <v/>
      </c>
      <c r="CC5" s="15">
        <f>IF(BM5="","",ABS(BM5-$B5))</f>
        <v/>
      </c>
      <c r="CD5" s="15">
        <f>IF(BN5="","",ABS(BN5-$B5))</f>
        <v/>
      </c>
      <c r="CE5" s="15">
        <f>IF(BO5="","",ABS(BO5-$B5))</f>
        <v/>
      </c>
      <c r="CF5" s="15">
        <f>IF(BP5="","",ABS(BP5-$B5))</f>
        <v/>
      </c>
      <c r="CG5" s="15">
        <f>IF(BQ5="","",ABS(BQ5-$B5))</f>
        <v/>
      </c>
      <c r="CH5" s="15">
        <f>IF(BR5="","",ABS(BR5-$B5))</f>
        <v/>
      </c>
      <c r="CI5" s="15">
        <f>IF(BS5="","",ABS(BS5-$B5))</f>
        <v/>
      </c>
      <c r="CJ5" s="15">
        <f>IF(BT5="","",ABS(BT5-$B5))</f>
        <v/>
      </c>
      <c r="CK5" s="15">
        <f>IF(BU5="","",ABS(BU5-$B5))</f>
        <v/>
      </c>
      <c r="CL5" s="14">
        <f>IF(J5="","",AND(J5&gt;0,J5&lt;101000,BV5&lt;0.05,AP5=0))</f>
        <v/>
      </c>
      <c r="CM5" s="14">
        <f>IF(K5="","",AND(K5&gt;0,K5&gt;=101000,BW5&lt;0.05,AQ5=0))</f>
        <v/>
      </c>
      <c r="CN5" s="14">
        <f>IF(L5="","",AND(L5&gt;0,L5&lt;101000,BX5&lt;0.05,AR5&gt;0))</f>
        <v/>
      </c>
      <c r="CO5" s="14">
        <f>IF(M5="","",AND(M5&gt;0,M5&lt;101000,BY5&lt;0.05,AS5&gt;0))</f>
        <v/>
      </c>
      <c r="CP5" s="14">
        <f>IF(N5="","",AND(N5&gt;0,N5&lt;101000,BZ5&lt;0.05,AT5&gt;0))</f>
        <v/>
      </c>
      <c r="CQ5" s="14">
        <f>IF(O5="","",AND(O5&gt;0,O5&lt;101000,CA5&lt;0.05,AU5&gt;0))</f>
        <v/>
      </c>
      <c r="CR5" s="14">
        <f>IF(P5="","",AND(P5&gt;0,P5&lt;101000,CB5&lt;0.05,AV5&gt;0))</f>
        <v/>
      </c>
      <c r="CS5" s="14">
        <f>IF(Q5="","",AND(Q5&gt;0,Q5&lt;101000,CC5&lt;0.05,AW5&gt;0))</f>
        <v/>
      </c>
      <c r="CT5" s="14">
        <f>IF(R5="","",AND(R5&gt;0,R5&lt;101000,CD5&lt;0.05,AX5&gt;0))</f>
        <v/>
      </c>
      <c r="CU5" s="14">
        <f>IF(S5="","",AND(S5&gt;0,S5&gt;=101000,CE5&lt;0.05,AY5&gt;0))</f>
        <v/>
      </c>
      <c r="CV5" s="14">
        <f>IF(T5="","",AND(T5&gt;0,T5&gt;=101000,CF5&lt;0.05,AZ5&gt;0))</f>
        <v/>
      </c>
      <c r="CW5" s="14">
        <f>IF(U5="","",AND(U5&gt;0,U5&gt;=101000,CG5&lt;0.05,BA5&gt;0))</f>
        <v/>
      </c>
      <c r="CX5" s="14">
        <f>IF(V5="","",AND(V5&gt;0,V5&gt;=101000,CH5&lt;0.05,BB5&gt;0))</f>
        <v/>
      </c>
      <c r="CY5" s="14">
        <f>IF(W5="","",AND(W5&gt;0,W5&gt;=101000,CI5&lt;0.05,BC5&gt;0))</f>
        <v/>
      </c>
      <c r="CZ5" s="14">
        <f>IF(X5="","",AND(X5&gt;0,X5&gt;=101000,CJ5&lt;0.05,BD5&gt;0))</f>
        <v/>
      </c>
      <c r="DA5" s="14">
        <f>IF(Y5="","",AND(Y5&gt;0,Y5&gt;=101000,CK5&lt;0.05,BE5&gt;0))</f>
        <v/>
      </c>
      <c r="DB5" s="14">
        <f>IFERROR(MATCH(TRUE,CL5:DA5,0),"")</f>
        <v/>
      </c>
      <c r="DC5" s="15">
        <f>IF(DB5="","",INDEX(J5:Y5,DB5))</f>
        <v/>
      </c>
      <c r="DD5" s="15">
        <f>IF(DB5="","",INDEX(BF5:BU5,DB5))</f>
        <v/>
      </c>
    </row>
    <row r="6">
      <c r="A6" s="14" t="n">
        <v>5</v>
      </c>
      <c r="B6" s="15">
        <f>'月度计算'!C9</f>
        <v/>
      </c>
      <c r="C6" s="14">
        <f>'月度计算'!D9</f>
        <v/>
      </c>
      <c r="D6" s="15">
        <f>'月度计算'!B9</f>
        <v/>
      </c>
      <c r="E6" s="14">
        <f>'月度计算'!E9</f>
        <v/>
      </c>
      <c r="F6" s="15">
        <f>'月度计算'!F9</f>
        <v/>
      </c>
      <c r="G6" s="15">
        <f>'月度计算'!AB9</f>
        <v/>
      </c>
      <c r="H6" s="15">
        <f>'月度计算'!AC9</f>
        <v/>
      </c>
      <c r="I6" s="15">
        <f>IF(C6=0,"",G6*80%-5000*E6-H6)</f>
        <v/>
      </c>
      <c r="J6" s="15">
        <f>IF(OR($C6=0,$B6="",$D6&lt;&gt;""),"",$B6/(1-(0)))</f>
        <v/>
      </c>
      <c r="K6" s="15">
        <f>IF(OR($C6=0,$B6="",$D6&lt;&gt;""),"",$B6/(1-(21/2020)))</f>
        <v/>
      </c>
      <c r="L6" s="15">
        <f>IF(OR($C6=0,$B6="",$D6&lt;&gt;""),"",($B6-0-$F6+$I6*0.03)/(1-(0)-(0.8)*0.03))</f>
        <v/>
      </c>
      <c r="M6" s="15">
        <f>IF(OR($C6=0,$B6="",$D6&lt;&gt;""),"",($B6-2520-$F6+$I6*0.1)/(1-(0)-(0.8)*0.1))</f>
        <v/>
      </c>
      <c r="N6" s="15">
        <f>IF(OR($C6=0,$B6="",$D6&lt;&gt;""),"",($B6-16920-$F6+$I6*0.2)/(1-(0)-(0.8)*0.2))</f>
        <v/>
      </c>
      <c r="O6" s="15">
        <f>IF(OR($C6=0,$B6="",$D6&lt;&gt;""),"",($B6-31920-$F6+$I6*0.25)/(1-(0)-(0.8)*0.25))</f>
        <v/>
      </c>
      <c r="P6" s="15">
        <f>IF(OR($C6=0,$B6="",$D6&lt;&gt;""),"",($B6-52920-$F6+$I6*0.3)/(1-(0)-(0.8)*0.3))</f>
        <v/>
      </c>
      <c r="Q6" s="15">
        <f>IF(OR($C6=0,$B6="",$D6&lt;&gt;""),"",($B6-85920-$F6+$I6*0.35)/(1-(0)-(0.8)*0.35))</f>
        <v/>
      </c>
      <c r="R6" s="15">
        <f>IF(OR($C6=0,$B6="",$D6&lt;&gt;""),"",($B6-181920-$F6+$I6*0.45)/(1-(0)-(0.8)*0.45))</f>
        <v/>
      </c>
      <c r="S6" s="15">
        <f>IF(OR($C6=0,$B6="",$D6&lt;&gt;""),"",($B6-0-$F6+$I6*0.03)/(1-(21/2020)-(1599/2020)*0.03))</f>
        <v/>
      </c>
      <c r="T6" s="15">
        <f>IF(OR($C6=0,$B6="",$D6&lt;&gt;""),"",($B6-2520-$F6+$I6*0.1)/(1-(21/2020)-(1599/2020)*0.1))</f>
        <v/>
      </c>
      <c r="U6" s="15">
        <f>IF(OR($C6=0,$B6="",$D6&lt;&gt;""),"",($B6-16920-$F6+$I6*0.2)/(1-(21/2020)-(1599/2020)*0.2))</f>
        <v/>
      </c>
      <c r="V6" s="15">
        <f>IF(OR($C6=0,$B6="",$D6&lt;&gt;""),"",($B6-31920-$F6+$I6*0.25)/(1-(21/2020)-(1599/2020)*0.25))</f>
        <v/>
      </c>
      <c r="W6" s="15">
        <f>IF(OR($C6=0,$B6="",$D6&lt;&gt;""),"",($B6-52920-$F6+$I6*0.3)/(1-(21/2020)-(1599/2020)*0.3))</f>
        <v/>
      </c>
      <c r="X6" s="15">
        <f>IF(OR($C6=0,$B6="",$D6&lt;&gt;""),"",($B6-85920-$F6+$I6*0.35)/(1-(21/2020)-(1599/2020)*0.35))</f>
        <v/>
      </c>
      <c r="Y6" s="15">
        <f>IF(OR($C6=0,$B6="",$D6&lt;&gt;""),"",($B6-181920-$F6+$I6*0.45)/(1-(21/2020)-(1599/2020)*0.45))</f>
        <v/>
      </c>
      <c r="Z6" s="15">
        <f>IF(J6="","",($G6+J6-(IF(J6/(1+IF(J6&lt;100000,0,1%))&lt;100000,0,J6/(1+IF(J6&lt;100000,0,1%))*1%)))*80%-5000*$E6-($H6+(IF(J6/(1+IF(J6&lt;100000,0,1%))&lt;100000,0,J6/(1+IF(J6&lt;100000,0,1%))*1%*5%))))</f>
        <v/>
      </c>
      <c r="AA6" s="15">
        <f>IF(K6="","",($G6+K6-(IF(K6/(1+IF(K6&lt;100000,0,1%))&lt;100000,0,K6/(1+IF(K6&lt;100000,0,1%))*1%)))*80%-5000*$E6-($H6+(IF(K6/(1+IF(K6&lt;100000,0,1%))&lt;100000,0,K6/(1+IF(K6&lt;100000,0,1%))*1%*5%))))</f>
        <v/>
      </c>
      <c r="AB6" s="15">
        <f>IF(L6="","",($G6+L6-(IF(L6/(1+IF(L6&lt;100000,0,1%))&lt;100000,0,L6/(1+IF(L6&lt;100000,0,1%))*1%)))*80%-5000*$E6-($H6+(IF(L6/(1+IF(L6&lt;100000,0,1%))&lt;100000,0,L6/(1+IF(L6&lt;100000,0,1%))*1%*5%))))</f>
        <v/>
      </c>
      <c r="AC6" s="15">
        <f>IF(M6="","",($G6+M6-(IF(M6/(1+IF(M6&lt;100000,0,1%))&lt;100000,0,M6/(1+IF(M6&lt;100000,0,1%))*1%)))*80%-5000*$E6-($H6+(IF(M6/(1+IF(M6&lt;100000,0,1%))&lt;100000,0,M6/(1+IF(M6&lt;100000,0,1%))*1%*5%))))</f>
        <v/>
      </c>
      <c r="AD6" s="15">
        <f>IF(N6="","",($G6+N6-(IF(N6/(1+IF(N6&lt;100000,0,1%))&lt;100000,0,N6/(1+IF(N6&lt;100000,0,1%))*1%)))*80%-5000*$E6-($H6+(IF(N6/(1+IF(N6&lt;100000,0,1%))&lt;100000,0,N6/(1+IF(N6&lt;100000,0,1%))*1%*5%))))</f>
        <v/>
      </c>
      <c r="AE6" s="15">
        <f>IF(O6="","",($G6+O6-(IF(O6/(1+IF(O6&lt;100000,0,1%))&lt;100000,0,O6/(1+IF(O6&lt;100000,0,1%))*1%)))*80%-5000*$E6-($H6+(IF(O6/(1+IF(O6&lt;100000,0,1%))&lt;100000,0,O6/(1+IF(O6&lt;100000,0,1%))*1%*5%))))</f>
        <v/>
      </c>
      <c r="AF6" s="15">
        <f>IF(P6="","",($G6+P6-(IF(P6/(1+IF(P6&lt;100000,0,1%))&lt;100000,0,P6/(1+IF(P6&lt;100000,0,1%))*1%)))*80%-5000*$E6-($H6+(IF(P6/(1+IF(P6&lt;100000,0,1%))&lt;100000,0,P6/(1+IF(P6&lt;100000,0,1%))*1%*5%))))</f>
        <v/>
      </c>
      <c r="AG6" s="15">
        <f>IF(Q6="","",($G6+Q6-(IF(Q6/(1+IF(Q6&lt;100000,0,1%))&lt;100000,0,Q6/(1+IF(Q6&lt;100000,0,1%))*1%)))*80%-5000*$E6-($H6+(IF(Q6/(1+IF(Q6&lt;100000,0,1%))&lt;100000,0,Q6/(1+IF(Q6&lt;100000,0,1%))*1%*5%))))</f>
        <v/>
      </c>
      <c r="AH6" s="15">
        <f>IF(R6="","",($G6+R6-(IF(R6/(1+IF(R6&lt;100000,0,1%))&lt;100000,0,R6/(1+IF(R6&lt;100000,0,1%))*1%)))*80%-5000*$E6-($H6+(IF(R6/(1+IF(R6&lt;100000,0,1%))&lt;100000,0,R6/(1+IF(R6&lt;100000,0,1%))*1%*5%))))</f>
        <v/>
      </c>
      <c r="AI6" s="15">
        <f>IF(S6="","",($G6+S6-(IF(S6/(1+IF(S6&lt;100000,0,1%))&lt;100000,0,S6/(1+IF(S6&lt;100000,0,1%))*1%)))*80%-5000*$E6-($H6+(IF(S6/(1+IF(S6&lt;100000,0,1%))&lt;100000,0,S6/(1+IF(S6&lt;100000,0,1%))*1%*5%))))</f>
        <v/>
      </c>
      <c r="AJ6" s="15">
        <f>IF(T6="","",($G6+T6-(IF(T6/(1+IF(T6&lt;100000,0,1%))&lt;100000,0,T6/(1+IF(T6&lt;100000,0,1%))*1%)))*80%-5000*$E6-($H6+(IF(T6/(1+IF(T6&lt;100000,0,1%))&lt;100000,0,T6/(1+IF(T6&lt;100000,0,1%))*1%*5%))))</f>
        <v/>
      </c>
      <c r="AK6" s="15">
        <f>IF(U6="","",($G6+U6-(IF(U6/(1+IF(U6&lt;100000,0,1%))&lt;100000,0,U6/(1+IF(U6&lt;100000,0,1%))*1%)))*80%-5000*$E6-($H6+(IF(U6/(1+IF(U6&lt;100000,0,1%))&lt;100000,0,U6/(1+IF(U6&lt;100000,0,1%))*1%*5%))))</f>
        <v/>
      </c>
      <c r="AL6" s="15">
        <f>IF(V6="","",($G6+V6-(IF(V6/(1+IF(V6&lt;100000,0,1%))&lt;100000,0,V6/(1+IF(V6&lt;100000,0,1%))*1%)))*80%-5000*$E6-($H6+(IF(V6/(1+IF(V6&lt;100000,0,1%))&lt;100000,0,V6/(1+IF(V6&lt;100000,0,1%))*1%*5%))))</f>
        <v/>
      </c>
      <c r="AM6" s="15">
        <f>IF(W6="","",($G6+W6-(IF(W6/(1+IF(W6&lt;100000,0,1%))&lt;100000,0,W6/(1+IF(W6&lt;100000,0,1%))*1%)))*80%-5000*$E6-($H6+(IF(W6/(1+IF(W6&lt;100000,0,1%))&lt;100000,0,W6/(1+IF(W6&lt;100000,0,1%))*1%*5%))))</f>
        <v/>
      </c>
      <c r="AN6" s="15">
        <f>IF(X6="","",($G6+X6-(IF(X6/(1+IF(X6&lt;100000,0,1%))&lt;100000,0,X6/(1+IF(X6&lt;100000,0,1%))*1%)))*80%-5000*$E6-($H6+(IF(X6/(1+IF(X6&lt;100000,0,1%))&lt;100000,0,X6/(1+IF(X6&lt;100000,0,1%))*1%*5%))))</f>
        <v/>
      </c>
      <c r="AO6" s="15">
        <f>IF(Y6="","",($G6+Y6-(IF(Y6/(1+IF(Y6&lt;100000,0,1%))&lt;100000,0,Y6/(1+IF(Y6&lt;100000,0,1%))*1%)))*80%-5000*$E6-($H6+(IF(Y6/(1+IF(Y6&lt;100000,0,1%))&lt;100000,0,Y6/(1+IF(Y6&lt;100000,0,1%))*1%*5%))))</f>
        <v/>
      </c>
      <c r="AP6" s="15">
        <f>IF(Z6="","",MAX(0,Z6*IF(Z6&lt;=36000,3%,IF(Z6&lt;=144000,10%,IF(Z6&lt;=300000,20%,IF(Z6&lt;=420000,25%,IF(Z6&lt;=660000,30%,IF(Z6&lt;=960000,35%,45%))))))-IF(Z6&lt;=36000,0,IF(Z6&lt;=144000,2520,IF(Z6&lt;=300000,16920,IF(Z6&lt;=420000,31920,IF(Z6&lt;=660000,52920,IF(Z6&lt;=960000,85920,181920))))))-$F6))</f>
        <v/>
      </c>
      <c r="AQ6" s="15">
        <f>IF(AA6="","",MAX(0,AA6*IF(AA6&lt;=36000,3%,IF(AA6&lt;=144000,10%,IF(AA6&lt;=300000,20%,IF(AA6&lt;=420000,25%,IF(AA6&lt;=660000,30%,IF(AA6&lt;=960000,35%,45%))))))-IF(AA6&lt;=36000,0,IF(AA6&lt;=144000,2520,IF(AA6&lt;=300000,16920,IF(AA6&lt;=420000,31920,IF(AA6&lt;=660000,52920,IF(AA6&lt;=960000,85920,181920))))))-$F6))</f>
        <v/>
      </c>
      <c r="AR6" s="15">
        <f>IF(AB6="","",MAX(0,AB6*IF(AB6&lt;=36000,3%,IF(AB6&lt;=144000,10%,IF(AB6&lt;=300000,20%,IF(AB6&lt;=420000,25%,IF(AB6&lt;=660000,30%,IF(AB6&lt;=960000,35%,45%))))))-IF(AB6&lt;=36000,0,IF(AB6&lt;=144000,2520,IF(AB6&lt;=300000,16920,IF(AB6&lt;=420000,31920,IF(AB6&lt;=660000,52920,IF(AB6&lt;=960000,85920,181920))))))-$F6))</f>
        <v/>
      </c>
      <c r="AS6" s="15">
        <f>IF(AC6="","",MAX(0,AC6*IF(AC6&lt;=36000,3%,IF(AC6&lt;=144000,10%,IF(AC6&lt;=300000,20%,IF(AC6&lt;=420000,25%,IF(AC6&lt;=660000,30%,IF(AC6&lt;=960000,35%,45%))))))-IF(AC6&lt;=36000,0,IF(AC6&lt;=144000,2520,IF(AC6&lt;=300000,16920,IF(AC6&lt;=420000,31920,IF(AC6&lt;=660000,52920,IF(AC6&lt;=960000,85920,181920))))))-$F6))</f>
        <v/>
      </c>
      <c r="AT6" s="15">
        <f>IF(AD6="","",MAX(0,AD6*IF(AD6&lt;=36000,3%,IF(AD6&lt;=144000,10%,IF(AD6&lt;=300000,20%,IF(AD6&lt;=420000,25%,IF(AD6&lt;=660000,30%,IF(AD6&lt;=960000,35%,45%))))))-IF(AD6&lt;=36000,0,IF(AD6&lt;=144000,2520,IF(AD6&lt;=300000,16920,IF(AD6&lt;=420000,31920,IF(AD6&lt;=660000,52920,IF(AD6&lt;=960000,85920,181920))))))-$F6))</f>
        <v/>
      </c>
      <c r="AU6" s="15">
        <f>IF(AE6="","",MAX(0,AE6*IF(AE6&lt;=36000,3%,IF(AE6&lt;=144000,10%,IF(AE6&lt;=300000,20%,IF(AE6&lt;=420000,25%,IF(AE6&lt;=660000,30%,IF(AE6&lt;=960000,35%,45%))))))-IF(AE6&lt;=36000,0,IF(AE6&lt;=144000,2520,IF(AE6&lt;=300000,16920,IF(AE6&lt;=420000,31920,IF(AE6&lt;=660000,52920,IF(AE6&lt;=960000,85920,181920))))))-$F6))</f>
        <v/>
      </c>
      <c r="AV6" s="15">
        <f>IF(AF6="","",MAX(0,AF6*IF(AF6&lt;=36000,3%,IF(AF6&lt;=144000,10%,IF(AF6&lt;=300000,20%,IF(AF6&lt;=420000,25%,IF(AF6&lt;=660000,30%,IF(AF6&lt;=960000,35%,45%))))))-IF(AF6&lt;=36000,0,IF(AF6&lt;=144000,2520,IF(AF6&lt;=300000,16920,IF(AF6&lt;=420000,31920,IF(AF6&lt;=660000,52920,IF(AF6&lt;=960000,85920,181920))))))-$F6))</f>
        <v/>
      </c>
      <c r="AW6" s="15">
        <f>IF(AG6="","",MAX(0,AG6*IF(AG6&lt;=36000,3%,IF(AG6&lt;=144000,10%,IF(AG6&lt;=300000,20%,IF(AG6&lt;=420000,25%,IF(AG6&lt;=660000,30%,IF(AG6&lt;=960000,35%,45%))))))-IF(AG6&lt;=36000,0,IF(AG6&lt;=144000,2520,IF(AG6&lt;=300000,16920,IF(AG6&lt;=420000,31920,IF(AG6&lt;=660000,52920,IF(AG6&lt;=960000,85920,181920))))))-$F6))</f>
        <v/>
      </c>
      <c r="AX6" s="15">
        <f>IF(AH6="","",MAX(0,AH6*IF(AH6&lt;=36000,3%,IF(AH6&lt;=144000,10%,IF(AH6&lt;=300000,20%,IF(AH6&lt;=420000,25%,IF(AH6&lt;=660000,30%,IF(AH6&lt;=960000,35%,45%))))))-IF(AH6&lt;=36000,0,IF(AH6&lt;=144000,2520,IF(AH6&lt;=300000,16920,IF(AH6&lt;=420000,31920,IF(AH6&lt;=660000,52920,IF(AH6&lt;=960000,85920,181920))))))-$F6))</f>
        <v/>
      </c>
      <c r="AY6" s="15">
        <f>IF(AI6="","",MAX(0,AI6*IF(AI6&lt;=36000,3%,IF(AI6&lt;=144000,10%,IF(AI6&lt;=300000,20%,IF(AI6&lt;=420000,25%,IF(AI6&lt;=660000,30%,IF(AI6&lt;=960000,35%,45%))))))-IF(AI6&lt;=36000,0,IF(AI6&lt;=144000,2520,IF(AI6&lt;=300000,16920,IF(AI6&lt;=420000,31920,IF(AI6&lt;=660000,52920,IF(AI6&lt;=960000,85920,181920))))))-$F6))</f>
        <v/>
      </c>
      <c r="AZ6" s="15">
        <f>IF(AJ6="","",MAX(0,AJ6*IF(AJ6&lt;=36000,3%,IF(AJ6&lt;=144000,10%,IF(AJ6&lt;=300000,20%,IF(AJ6&lt;=420000,25%,IF(AJ6&lt;=660000,30%,IF(AJ6&lt;=960000,35%,45%))))))-IF(AJ6&lt;=36000,0,IF(AJ6&lt;=144000,2520,IF(AJ6&lt;=300000,16920,IF(AJ6&lt;=420000,31920,IF(AJ6&lt;=660000,52920,IF(AJ6&lt;=960000,85920,181920))))))-$F6))</f>
        <v/>
      </c>
      <c r="BA6" s="15">
        <f>IF(AK6="","",MAX(0,AK6*IF(AK6&lt;=36000,3%,IF(AK6&lt;=144000,10%,IF(AK6&lt;=300000,20%,IF(AK6&lt;=420000,25%,IF(AK6&lt;=660000,30%,IF(AK6&lt;=960000,35%,45%))))))-IF(AK6&lt;=36000,0,IF(AK6&lt;=144000,2520,IF(AK6&lt;=300000,16920,IF(AK6&lt;=420000,31920,IF(AK6&lt;=660000,52920,IF(AK6&lt;=960000,85920,181920))))))-$F6))</f>
        <v/>
      </c>
      <c r="BB6" s="15">
        <f>IF(AL6="","",MAX(0,AL6*IF(AL6&lt;=36000,3%,IF(AL6&lt;=144000,10%,IF(AL6&lt;=300000,20%,IF(AL6&lt;=420000,25%,IF(AL6&lt;=660000,30%,IF(AL6&lt;=960000,35%,45%))))))-IF(AL6&lt;=36000,0,IF(AL6&lt;=144000,2520,IF(AL6&lt;=300000,16920,IF(AL6&lt;=420000,31920,IF(AL6&lt;=660000,52920,IF(AL6&lt;=960000,85920,181920))))))-$F6))</f>
        <v/>
      </c>
      <c r="BC6" s="15">
        <f>IF(AM6="","",MAX(0,AM6*IF(AM6&lt;=36000,3%,IF(AM6&lt;=144000,10%,IF(AM6&lt;=300000,20%,IF(AM6&lt;=420000,25%,IF(AM6&lt;=660000,30%,IF(AM6&lt;=960000,35%,45%))))))-IF(AM6&lt;=36000,0,IF(AM6&lt;=144000,2520,IF(AM6&lt;=300000,16920,IF(AM6&lt;=420000,31920,IF(AM6&lt;=660000,52920,IF(AM6&lt;=960000,85920,181920))))))-$F6))</f>
        <v/>
      </c>
      <c r="BD6" s="15">
        <f>IF(AN6="","",MAX(0,AN6*IF(AN6&lt;=36000,3%,IF(AN6&lt;=144000,10%,IF(AN6&lt;=300000,20%,IF(AN6&lt;=420000,25%,IF(AN6&lt;=660000,30%,IF(AN6&lt;=960000,35%,45%))))))-IF(AN6&lt;=36000,0,IF(AN6&lt;=144000,2520,IF(AN6&lt;=300000,16920,IF(AN6&lt;=420000,31920,IF(AN6&lt;=660000,52920,IF(AN6&lt;=960000,85920,181920))))))-$F6))</f>
        <v/>
      </c>
      <c r="BE6" s="15">
        <f>IF(AO6="","",MAX(0,AO6*IF(AO6&lt;=36000,3%,IF(AO6&lt;=144000,10%,IF(AO6&lt;=300000,20%,IF(AO6&lt;=420000,25%,IF(AO6&lt;=660000,30%,IF(AO6&lt;=960000,35%,45%))))))-IF(AO6&lt;=36000,0,IF(AO6&lt;=144000,2520,IF(AO6&lt;=300000,16920,IF(AO6&lt;=420000,31920,IF(AO6&lt;=660000,52920,IF(AO6&lt;=960000,85920,181920))))))-$F6))</f>
        <v/>
      </c>
      <c r="BF6" s="15">
        <f>IF(J6="","",J6-(IF(J6/(1+IF(J6&lt;100000,0,1%))&lt;100000,0,J6/(1+IF(J6&lt;100000,0,1%))*1%))-(IF(J6/(1+IF(J6&lt;100000,0,1%))&lt;100000,0,J6/(1+IF(J6&lt;100000,0,1%))*1%*5%))-AP6)</f>
        <v/>
      </c>
      <c r="BG6" s="15">
        <f>IF(K6="","",K6-(IF(K6/(1+IF(K6&lt;100000,0,1%))&lt;100000,0,K6/(1+IF(K6&lt;100000,0,1%))*1%))-(IF(K6/(1+IF(K6&lt;100000,0,1%))&lt;100000,0,K6/(1+IF(K6&lt;100000,0,1%))*1%*5%))-AQ6)</f>
        <v/>
      </c>
      <c r="BH6" s="15">
        <f>IF(L6="","",L6-(IF(L6/(1+IF(L6&lt;100000,0,1%))&lt;100000,0,L6/(1+IF(L6&lt;100000,0,1%))*1%))-(IF(L6/(1+IF(L6&lt;100000,0,1%))&lt;100000,0,L6/(1+IF(L6&lt;100000,0,1%))*1%*5%))-AR6)</f>
        <v/>
      </c>
      <c r="BI6" s="15">
        <f>IF(M6="","",M6-(IF(M6/(1+IF(M6&lt;100000,0,1%))&lt;100000,0,M6/(1+IF(M6&lt;100000,0,1%))*1%))-(IF(M6/(1+IF(M6&lt;100000,0,1%))&lt;100000,0,M6/(1+IF(M6&lt;100000,0,1%))*1%*5%))-AS6)</f>
        <v/>
      </c>
      <c r="BJ6" s="15">
        <f>IF(N6="","",N6-(IF(N6/(1+IF(N6&lt;100000,0,1%))&lt;100000,0,N6/(1+IF(N6&lt;100000,0,1%))*1%))-(IF(N6/(1+IF(N6&lt;100000,0,1%))&lt;100000,0,N6/(1+IF(N6&lt;100000,0,1%))*1%*5%))-AT6)</f>
        <v/>
      </c>
      <c r="BK6" s="15">
        <f>IF(O6="","",O6-(IF(O6/(1+IF(O6&lt;100000,0,1%))&lt;100000,0,O6/(1+IF(O6&lt;100000,0,1%))*1%))-(IF(O6/(1+IF(O6&lt;100000,0,1%))&lt;100000,0,O6/(1+IF(O6&lt;100000,0,1%))*1%*5%))-AU6)</f>
        <v/>
      </c>
      <c r="BL6" s="15">
        <f>IF(P6="","",P6-(IF(P6/(1+IF(P6&lt;100000,0,1%))&lt;100000,0,P6/(1+IF(P6&lt;100000,0,1%))*1%))-(IF(P6/(1+IF(P6&lt;100000,0,1%))&lt;100000,0,P6/(1+IF(P6&lt;100000,0,1%))*1%*5%))-AV6)</f>
        <v/>
      </c>
      <c r="BM6" s="15">
        <f>IF(Q6="","",Q6-(IF(Q6/(1+IF(Q6&lt;100000,0,1%))&lt;100000,0,Q6/(1+IF(Q6&lt;100000,0,1%))*1%))-(IF(Q6/(1+IF(Q6&lt;100000,0,1%))&lt;100000,0,Q6/(1+IF(Q6&lt;100000,0,1%))*1%*5%))-AW6)</f>
        <v/>
      </c>
      <c r="BN6" s="15">
        <f>IF(R6="","",R6-(IF(R6/(1+IF(R6&lt;100000,0,1%))&lt;100000,0,R6/(1+IF(R6&lt;100000,0,1%))*1%))-(IF(R6/(1+IF(R6&lt;100000,0,1%))&lt;100000,0,R6/(1+IF(R6&lt;100000,0,1%))*1%*5%))-AX6)</f>
        <v/>
      </c>
      <c r="BO6" s="15">
        <f>IF(S6="","",S6-(IF(S6/(1+IF(S6&lt;100000,0,1%))&lt;100000,0,S6/(1+IF(S6&lt;100000,0,1%))*1%))-(IF(S6/(1+IF(S6&lt;100000,0,1%))&lt;100000,0,S6/(1+IF(S6&lt;100000,0,1%))*1%*5%))-AY6)</f>
        <v/>
      </c>
      <c r="BP6" s="15">
        <f>IF(T6="","",T6-(IF(T6/(1+IF(T6&lt;100000,0,1%))&lt;100000,0,T6/(1+IF(T6&lt;100000,0,1%))*1%))-(IF(T6/(1+IF(T6&lt;100000,0,1%))&lt;100000,0,T6/(1+IF(T6&lt;100000,0,1%))*1%*5%))-AZ6)</f>
        <v/>
      </c>
      <c r="BQ6" s="15">
        <f>IF(U6="","",U6-(IF(U6/(1+IF(U6&lt;100000,0,1%))&lt;100000,0,U6/(1+IF(U6&lt;100000,0,1%))*1%))-(IF(U6/(1+IF(U6&lt;100000,0,1%))&lt;100000,0,U6/(1+IF(U6&lt;100000,0,1%))*1%*5%))-BA6)</f>
        <v/>
      </c>
      <c r="BR6" s="15">
        <f>IF(V6="","",V6-(IF(V6/(1+IF(V6&lt;100000,0,1%))&lt;100000,0,V6/(1+IF(V6&lt;100000,0,1%))*1%))-(IF(V6/(1+IF(V6&lt;100000,0,1%))&lt;100000,0,V6/(1+IF(V6&lt;100000,0,1%))*1%*5%))-BB6)</f>
        <v/>
      </c>
      <c r="BS6" s="15">
        <f>IF(W6="","",W6-(IF(W6/(1+IF(W6&lt;100000,0,1%))&lt;100000,0,W6/(1+IF(W6&lt;100000,0,1%))*1%))-(IF(W6/(1+IF(W6&lt;100000,0,1%))&lt;100000,0,W6/(1+IF(W6&lt;100000,0,1%))*1%*5%))-BC6)</f>
        <v/>
      </c>
      <c r="BT6" s="15">
        <f>IF(X6="","",X6-(IF(X6/(1+IF(X6&lt;100000,0,1%))&lt;100000,0,X6/(1+IF(X6&lt;100000,0,1%))*1%))-(IF(X6/(1+IF(X6&lt;100000,0,1%))&lt;100000,0,X6/(1+IF(X6&lt;100000,0,1%))*1%*5%))-BD6)</f>
        <v/>
      </c>
      <c r="BU6" s="15">
        <f>IF(Y6="","",Y6-(IF(Y6/(1+IF(Y6&lt;100000,0,1%))&lt;100000,0,Y6/(1+IF(Y6&lt;100000,0,1%))*1%))-(IF(Y6/(1+IF(Y6&lt;100000,0,1%))&lt;100000,0,Y6/(1+IF(Y6&lt;100000,0,1%))*1%*5%))-BE6)</f>
        <v/>
      </c>
      <c r="BV6" s="15">
        <f>IF(BF6="","",ABS(BF6-$B6))</f>
        <v/>
      </c>
      <c r="BW6" s="15">
        <f>IF(BG6="","",ABS(BG6-$B6))</f>
        <v/>
      </c>
      <c r="BX6" s="15">
        <f>IF(BH6="","",ABS(BH6-$B6))</f>
        <v/>
      </c>
      <c r="BY6" s="15">
        <f>IF(BI6="","",ABS(BI6-$B6))</f>
        <v/>
      </c>
      <c r="BZ6" s="15">
        <f>IF(BJ6="","",ABS(BJ6-$B6))</f>
        <v/>
      </c>
      <c r="CA6" s="15">
        <f>IF(BK6="","",ABS(BK6-$B6))</f>
        <v/>
      </c>
      <c r="CB6" s="15">
        <f>IF(BL6="","",ABS(BL6-$B6))</f>
        <v/>
      </c>
      <c r="CC6" s="15">
        <f>IF(BM6="","",ABS(BM6-$B6))</f>
        <v/>
      </c>
      <c r="CD6" s="15">
        <f>IF(BN6="","",ABS(BN6-$B6))</f>
        <v/>
      </c>
      <c r="CE6" s="15">
        <f>IF(BO6="","",ABS(BO6-$B6))</f>
        <v/>
      </c>
      <c r="CF6" s="15">
        <f>IF(BP6="","",ABS(BP6-$B6))</f>
        <v/>
      </c>
      <c r="CG6" s="15">
        <f>IF(BQ6="","",ABS(BQ6-$B6))</f>
        <v/>
      </c>
      <c r="CH6" s="15">
        <f>IF(BR6="","",ABS(BR6-$B6))</f>
        <v/>
      </c>
      <c r="CI6" s="15">
        <f>IF(BS6="","",ABS(BS6-$B6))</f>
        <v/>
      </c>
      <c r="CJ6" s="15">
        <f>IF(BT6="","",ABS(BT6-$B6))</f>
        <v/>
      </c>
      <c r="CK6" s="15">
        <f>IF(BU6="","",ABS(BU6-$B6))</f>
        <v/>
      </c>
      <c r="CL6" s="14">
        <f>IF(J6="","",AND(J6&gt;0,J6&lt;101000,BV6&lt;0.05,AP6=0))</f>
        <v/>
      </c>
      <c r="CM6" s="14">
        <f>IF(K6="","",AND(K6&gt;0,K6&gt;=101000,BW6&lt;0.05,AQ6=0))</f>
        <v/>
      </c>
      <c r="CN6" s="14">
        <f>IF(L6="","",AND(L6&gt;0,L6&lt;101000,BX6&lt;0.05,AR6&gt;0))</f>
        <v/>
      </c>
      <c r="CO6" s="14">
        <f>IF(M6="","",AND(M6&gt;0,M6&lt;101000,BY6&lt;0.05,AS6&gt;0))</f>
        <v/>
      </c>
      <c r="CP6" s="14">
        <f>IF(N6="","",AND(N6&gt;0,N6&lt;101000,BZ6&lt;0.05,AT6&gt;0))</f>
        <v/>
      </c>
      <c r="CQ6" s="14">
        <f>IF(O6="","",AND(O6&gt;0,O6&lt;101000,CA6&lt;0.05,AU6&gt;0))</f>
        <v/>
      </c>
      <c r="CR6" s="14">
        <f>IF(P6="","",AND(P6&gt;0,P6&lt;101000,CB6&lt;0.05,AV6&gt;0))</f>
        <v/>
      </c>
      <c r="CS6" s="14">
        <f>IF(Q6="","",AND(Q6&gt;0,Q6&lt;101000,CC6&lt;0.05,AW6&gt;0))</f>
        <v/>
      </c>
      <c r="CT6" s="14">
        <f>IF(R6="","",AND(R6&gt;0,R6&lt;101000,CD6&lt;0.05,AX6&gt;0))</f>
        <v/>
      </c>
      <c r="CU6" s="14">
        <f>IF(S6="","",AND(S6&gt;0,S6&gt;=101000,CE6&lt;0.05,AY6&gt;0))</f>
        <v/>
      </c>
      <c r="CV6" s="14">
        <f>IF(T6="","",AND(T6&gt;0,T6&gt;=101000,CF6&lt;0.05,AZ6&gt;0))</f>
        <v/>
      </c>
      <c r="CW6" s="14">
        <f>IF(U6="","",AND(U6&gt;0,U6&gt;=101000,CG6&lt;0.05,BA6&gt;0))</f>
        <v/>
      </c>
      <c r="CX6" s="14">
        <f>IF(V6="","",AND(V6&gt;0,V6&gt;=101000,CH6&lt;0.05,BB6&gt;0))</f>
        <v/>
      </c>
      <c r="CY6" s="14">
        <f>IF(W6="","",AND(W6&gt;0,W6&gt;=101000,CI6&lt;0.05,BC6&gt;0))</f>
        <v/>
      </c>
      <c r="CZ6" s="14">
        <f>IF(X6="","",AND(X6&gt;0,X6&gt;=101000,CJ6&lt;0.05,BD6&gt;0))</f>
        <v/>
      </c>
      <c r="DA6" s="14">
        <f>IF(Y6="","",AND(Y6&gt;0,Y6&gt;=101000,CK6&lt;0.05,BE6&gt;0))</f>
        <v/>
      </c>
      <c r="DB6" s="14">
        <f>IFERROR(MATCH(TRUE,CL6:DA6,0),"")</f>
        <v/>
      </c>
      <c r="DC6" s="15">
        <f>IF(DB6="","",INDEX(J6:Y6,DB6))</f>
        <v/>
      </c>
      <c r="DD6" s="15">
        <f>IF(DB6="","",INDEX(BF6:BU6,DB6))</f>
        <v/>
      </c>
    </row>
    <row r="7">
      <c r="A7" s="14" t="n">
        <v>6</v>
      </c>
      <c r="B7" s="15">
        <f>'月度计算'!C10</f>
        <v/>
      </c>
      <c r="C7" s="14">
        <f>'月度计算'!D10</f>
        <v/>
      </c>
      <c r="D7" s="15">
        <f>'月度计算'!B10</f>
        <v/>
      </c>
      <c r="E7" s="14">
        <f>'月度计算'!E10</f>
        <v/>
      </c>
      <c r="F7" s="15">
        <f>'月度计算'!F10</f>
        <v/>
      </c>
      <c r="G7" s="15">
        <f>'月度计算'!AB10</f>
        <v/>
      </c>
      <c r="H7" s="15">
        <f>'月度计算'!AC10</f>
        <v/>
      </c>
      <c r="I7" s="15">
        <f>IF(C7=0,"",G7*80%-5000*E7-H7)</f>
        <v/>
      </c>
      <c r="J7" s="15">
        <f>IF(OR($C7=0,$B7="",$D7&lt;&gt;""),"",$B7/(1-(0)))</f>
        <v/>
      </c>
      <c r="K7" s="15">
        <f>IF(OR($C7=0,$B7="",$D7&lt;&gt;""),"",$B7/(1-(21/2020)))</f>
        <v/>
      </c>
      <c r="L7" s="15">
        <f>IF(OR($C7=0,$B7="",$D7&lt;&gt;""),"",($B7-0-$F7+$I7*0.03)/(1-(0)-(0.8)*0.03))</f>
        <v/>
      </c>
      <c r="M7" s="15">
        <f>IF(OR($C7=0,$B7="",$D7&lt;&gt;""),"",($B7-2520-$F7+$I7*0.1)/(1-(0)-(0.8)*0.1))</f>
        <v/>
      </c>
      <c r="N7" s="15">
        <f>IF(OR($C7=0,$B7="",$D7&lt;&gt;""),"",($B7-16920-$F7+$I7*0.2)/(1-(0)-(0.8)*0.2))</f>
        <v/>
      </c>
      <c r="O7" s="15">
        <f>IF(OR($C7=0,$B7="",$D7&lt;&gt;""),"",($B7-31920-$F7+$I7*0.25)/(1-(0)-(0.8)*0.25))</f>
        <v/>
      </c>
      <c r="P7" s="15">
        <f>IF(OR($C7=0,$B7="",$D7&lt;&gt;""),"",($B7-52920-$F7+$I7*0.3)/(1-(0)-(0.8)*0.3))</f>
        <v/>
      </c>
      <c r="Q7" s="15">
        <f>IF(OR($C7=0,$B7="",$D7&lt;&gt;""),"",($B7-85920-$F7+$I7*0.35)/(1-(0)-(0.8)*0.35))</f>
        <v/>
      </c>
      <c r="R7" s="15">
        <f>IF(OR($C7=0,$B7="",$D7&lt;&gt;""),"",($B7-181920-$F7+$I7*0.45)/(1-(0)-(0.8)*0.45))</f>
        <v/>
      </c>
      <c r="S7" s="15">
        <f>IF(OR($C7=0,$B7="",$D7&lt;&gt;""),"",($B7-0-$F7+$I7*0.03)/(1-(21/2020)-(1599/2020)*0.03))</f>
        <v/>
      </c>
      <c r="T7" s="15">
        <f>IF(OR($C7=0,$B7="",$D7&lt;&gt;""),"",($B7-2520-$F7+$I7*0.1)/(1-(21/2020)-(1599/2020)*0.1))</f>
        <v/>
      </c>
      <c r="U7" s="15">
        <f>IF(OR($C7=0,$B7="",$D7&lt;&gt;""),"",($B7-16920-$F7+$I7*0.2)/(1-(21/2020)-(1599/2020)*0.2))</f>
        <v/>
      </c>
      <c r="V7" s="15">
        <f>IF(OR($C7=0,$B7="",$D7&lt;&gt;""),"",($B7-31920-$F7+$I7*0.25)/(1-(21/2020)-(1599/2020)*0.25))</f>
        <v/>
      </c>
      <c r="W7" s="15">
        <f>IF(OR($C7=0,$B7="",$D7&lt;&gt;""),"",($B7-52920-$F7+$I7*0.3)/(1-(21/2020)-(1599/2020)*0.3))</f>
        <v/>
      </c>
      <c r="X7" s="15">
        <f>IF(OR($C7=0,$B7="",$D7&lt;&gt;""),"",($B7-85920-$F7+$I7*0.35)/(1-(21/2020)-(1599/2020)*0.35))</f>
        <v/>
      </c>
      <c r="Y7" s="15">
        <f>IF(OR($C7=0,$B7="",$D7&lt;&gt;""),"",($B7-181920-$F7+$I7*0.45)/(1-(21/2020)-(1599/2020)*0.45))</f>
        <v/>
      </c>
      <c r="Z7" s="15">
        <f>IF(J7="","",($G7+J7-(IF(J7/(1+IF(J7&lt;100000,0,1%))&lt;100000,0,J7/(1+IF(J7&lt;100000,0,1%))*1%)))*80%-5000*$E7-($H7+(IF(J7/(1+IF(J7&lt;100000,0,1%))&lt;100000,0,J7/(1+IF(J7&lt;100000,0,1%))*1%*5%))))</f>
        <v/>
      </c>
      <c r="AA7" s="15">
        <f>IF(K7="","",($G7+K7-(IF(K7/(1+IF(K7&lt;100000,0,1%))&lt;100000,0,K7/(1+IF(K7&lt;100000,0,1%))*1%)))*80%-5000*$E7-($H7+(IF(K7/(1+IF(K7&lt;100000,0,1%))&lt;100000,0,K7/(1+IF(K7&lt;100000,0,1%))*1%*5%))))</f>
        <v/>
      </c>
      <c r="AB7" s="15">
        <f>IF(L7="","",($G7+L7-(IF(L7/(1+IF(L7&lt;100000,0,1%))&lt;100000,0,L7/(1+IF(L7&lt;100000,0,1%))*1%)))*80%-5000*$E7-($H7+(IF(L7/(1+IF(L7&lt;100000,0,1%))&lt;100000,0,L7/(1+IF(L7&lt;100000,0,1%))*1%*5%))))</f>
        <v/>
      </c>
      <c r="AC7" s="15">
        <f>IF(M7="","",($G7+M7-(IF(M7/(1+IF(M7&lt;100000,0,1%))&lt;100000,0,M7/(1+IF(M7&lt;100000,0,1%))*1%)))*80%-5000*$E7-($H7+(IF(M7/(1+IF(M7&lt;100000,0,1%))&lt;100000,0,M7/(1+IF(M7&lt;100000,0,1%))*1%*5%))))</f>
        <v/>
      </c>
      <c r="AD7" s="15">
        <f>IF(N7="","",($G7+N7-(IF(N7/(1+IF(N7&lt;100000,0,1%))&lt;100000,0,N7/(1+IF(N7&lt;100000,0,1%))*1%)))*80%-5000*$E7-($H7+(IF(N7/(1+IF(N7&lt;100000,0,1%))&lt;100000,0,N7/(1+IF(N7&lt;100000,0,1%))*1%*5%))))</f>
        <v/>
      </c>
      <c r="AE7" s="15">
        <f>IF(O7="","",($G7+O7-(IF(O7/(1+IF(O7&lt;100000,0,1%))&lt;100000,0,O7/(1+IF(O7&lt;100000,0,1%))*1%)))*80%-5000*$E7-($H7+(IF(O7/(1+IF(O7&lt;100000,0,1%))&lt;100000,0,O7/(1+IF(O7&lt;100000,0,1%))*1%*5%))))</f>
        <v/>
      </c>
      <c r="AF7" s="15">
        <f>IF(P7="","",($G7+P7-(IF(P7/(1+IF(P7&lt;100000,0,1%))&lt;100000,0,P7/(1+IF(P7&lt;100000,0,1%))*1%)))*80%-5000*$E7-($H7+(IF(P7/(1+IF(P7&lt;100000,0,1%))&lt;100000,0,P7/(1+IF(P7&lt;100000,0,1%))*1%*5%))))</f>
        <v/>
      </c>
      <c r="AG7" s="15">
        <f>IF(Q7="","",($G7+Q7-(IF(Q7/(1+IF(Q7&lt;100000,0,1%))&lt;100000,0,Q7/(1+IF(Q7&lt;100000,0,1%))*1%)))*80%-5000*$E7-($H7+(IF(Q7/(1+IF(Q7&lt;100000,0,1%))&lt;100000,0,Q7/(1+IF(Q7&lt;100000,0,1%))*1%*5%))))</f>
        <v/>
      </c>
      <c r="AH7" s="15">
        <f>IF(R7="","",($G7+R7-(IF(R7/(1+IF(R7&lt;100000,0,1%))&lt;100000,0,R7/(1+IF(R7&lt;100000,0,1%))*1%)))*80%-5000*$E7-($H7+(IF(R7/(1+IF(R7&lt;100000,0,1%))&lt;100000,0,R7/(1+IF(R7&lt;100000,0,1%))*1%*5%))))</f>
        <v/>
      </c>
      <c r="AI7" s="15">
        <f>IF(S7="","",($G7+S7-(IF(S7/(1+IF(S7&lt;100000,0,1%))&lt;100000,0,S7/(1+IF(S7&lt;100000,0,1%))*1%)))*80%-5000*$E7-($H7+(IF(S7/(1+IF(S7&lt;100000,0,1%))&lt;100000,0,S7/(1+IF(S7&lt;100000,0,1%))*1%*5%))))</f>
        <v/>
      </c>
      <c r="AJ7" s="15">
        <f>IF(T7="","",($G7+T7-(IF(T7/(1+IF(T7&lt;100000,0,1%))&lt;100000,0,T7/(1+IF(T7&lt;100000,0,1%))*1%)))*80%-5000*$E7-($H7+(IF(T7/(1+IF(T7&lt;100000,0,1%))&lt;100000,0,T7/(1+IF(T7&lt;100000,0,1%))*1%*5%))))</f>
        <v/>
      </c>
      <c r="AK7" s="15">
        <f>IF(U7="","",($G7+U7-(IF(U7/(1+IF(U7&lt;100000,0,1%))&lt;100000,0,U7/(1+IF(U7&lt;100000,0,1%))*1%)))*80%-5000*$E7-($H7+(IF(U7/(1+IF(U7&lt;100000,0,1%))&lt;100000,0,U7/(1+IF(U7&lt;100000,0,1%))*1%*5%))))</f>
        <v/>
      </c>
      <c r="AL7" s="15">
        <f>IF(V7="","",($G7+V7-(IF(V7/(1+IF(V7&lt;100000,0,1%))&lt;100000,0,V7/(1+IF(V7&lt;100000,0,1%))*1%)))*80%-5000*$E7-($H7+(IF(V7/(1+IF(V7&lt;100000,0,1%))&lt;100000,0,V7/(1+IF(V7&lt;100000,0,1%))*1%*5%))))</f>
        <v/>
      </c>
      <c r="AM7" s="15">
        <f>IF(W7="","",($G7+W7-(IF(W7/(1+IF(W7&lt;100000,0,1%))&lt;100000,0,W7/(1+IF(W7&lt;100000,0,1%))*1%)))*80%-5000*$E7-($H7+(IF(W7/(1+IF(W7&lt;100000,0,1%))&lt;100000,0,W7/(1+IF(W7&lt;100000,0,1%))*1%*5%))))</f>
        <v/>
      </c>
      <c r="AN7" s="15">
        <f>IF(X7="","",($G7+X7-(IF(X7/(1+IF(X7&lt;100000,0,1%))&lt;100000,0,X7/(1+IF(X7&lt;100000,0,1%))*1%)))*80%-5000*$E7-($H7+(IF(X7/(1+IF(X7&lt;100000,0,1%))&lt;100000,0,X7/(1+IF(X7&lt;100000,0,1%))*1%*5%))))</f>
        <v/>
      </c>
      <c r="AO7" s="15">
        <f>IF(Y7="","",($G7+Y7-(IF(Y7/(1+IF(Y7&lt;100000,0,1%))&lt;100000,0,Y7/(1+IF(Y7&lt;100000,0,1%))*1%)))*80%-5000*$E7-($H7+(IF(Y7/(1+IF(Y7&lt;100000,0,1%))&lt;100000,0,Y7/(1+IF(Y7&lt;100000,0,1%))*1%*5%))))</f>
        <v/>
      </c>
      <c r="AP7" s="15">
        <f>IF(Z7="","",MAX(0,Z7*IF(Z7&lt;=36000,3%,IF(Z7&lt;=144000,10%,IF(Z7&lt;=300000,20%,IF(Z7&lt;=420000,25%,IF(Z7&lt;=660000,30%,IF(Z7&lt;=960000,35%,45%))))))-IF(Z7&lt;=36000,0,IF(Z7&lt;=144000,2520,IF(Z7&lt;=300000,16920,IF(Z7&lt;=420000,31920,IF(Z7&lt;=660000,52920,IF(Z7&lt;=960000,85920,181920))))))-$F7))</f>
        <v/>
      </c>
      <c r="AQ7" s="15">
        <f>IF(AA7="","",MAX(0,AA7*IF(AA7&lt;=36000,3%,IF(AA7&lt;=144000,10%,IF(AA7&lt;=300000,20%,IF(AA7&lt;=420000,25%,IF(AA7&lt;=660000,30%,IF(AA7&lt;=960000,35%,45%))))))-IF(AA7&lt;=36000,0,IF(AA7&lt;=144000,2520,IF(AA7&lt;=300000,16920,IF(AA7&lt;=420000,31920,IF(AA7&lt;=660000,52920,IF(AA7&lt;=960000,85920,181920))))))-$F7))</f>
        <v/>
      </c>
      <c r="AR7" s="15">
        <f>IF(AB7="","",MAX(0,AB7*IF(AB7&lt;=36000,3%,IF(AB7&lt;=144000,10%,IF(AB7&lt;=300000,20%,IF(AB7&lt;=420000,25%,IF(AB7&lt;=660000,30%,IF(AB7&lt;=960000,35%,45%))))))-IF(AB7&lt;=36000,0,IF(AB7&lt;=144000,2520,IF(AB7&lt;=300000,16920,IF(AB7&lt;=420000,31920,IF(AB7&lt;=660000,52920,IF(AB7&lt;=960000,85920,181920))))))-$F7))</f>
        <v/>
      </c>
      <c r="AS7" s="15">
        <f>IF(AC7="","",MAX(0,AC7*IF(AC7&lt;=36000,3%,IF(AC7&lt;=144000,10%,IF(AC7&lt;=300000,20%,IF(AC7&lt;=420000,25%,IF(AC7&lt;=660000,30%,IF(AC7&lt;=960000,35%,45%))))))-IF(AC7&lt;=36000,0,IF(AC7&lt;=144000,2520,IF(AC7&lt;=300000,16920,IF(AC7&lt;=420000,31920,IF(AC7&lt;=660000,52920,IF(AC7&lt;=960000,85920,181920))))))-$F7))</f>
        <v/>
      </c>
      <c r="AT7" s="15">
        <f>IF(AD7="","",MAX(0,AD7*IF(AD7&lt;=36000,3%,IF(AD7&lt;=144000,10%,IF(AD7&lt;=300000,20%,IF(AD7&lt;=420000,25%,IF(AD7&lt;=660000,30%,IF(AD7&lt;=960000,35%,45%))))))-IF(AD7&lt;=36000,0,IF(AD7&lt;=144000,2520,IF(AD7&lt;=300000,16920,IF(AD7&lt;=420000,31920,IF(AD7&lt;=660000,52920,IF(AD7&lt;=960000,85920,181920))))))-$F7))</f>
        <v/>
      </c>
      <c r="AU7" s="15">
        <f>IF(AE7="","",MAX(0,AE7*IF(AE7&lt;=36000,3%,IF(AE7&lt;=144000,10%,IF(AE7&lt;=300000,20%,IF(AE7&lt;=420000,25%,IF(AE7&lt;=660000,30%,IF(AE7&lt;=960000,35%,45%))))))-IF(AE7&lt;=36000,0,IF(AE7&lt;=144000,2520,IF(AE7&lt;=300000,16920,IF(AE7&lt;=420000,31920,IF(AE7&lt;=660000,52920,IF(AE7&lt;=960000,85920,181920))))))-$F7))</f>
        <v/>
      </c>
      <c r="AV7" s="15">
        <f>IF(AF7="","",MAX(0,AF7*IF(AF7&lt;=36000,3%,IF(AF7&lt;=144000,10%,IF(AF7&lt;=300000,20%,IF(AF7&lt;=420000,25%,IF(AF7&lt;=660000,30%,IF(AF7&lt;=960000,35%,45%))))))-IF(AF7&lt;=36000,0,IF(AF7&lt;=144000,2520,IF(AF7&lt;=300000,16920,IF(AF7&lt;=420000,31920,IF(AF7&lt;=660000,52920,IF(AF7&lt;=960000,85920,181920))))))-$F7))</f>
        <v/>
      </c>
      <c r="AW7" s="15">
        <f>IF(AG7="","",MAX(0,AG7*IF(AG7&lt;=36000,3%,IF(AG7&lt;=144000,10%,IF(AG7&lt;=300000,20%,IF(AG7&lt;=420000,25%,IF(AG7&lt;=660000,30%,IF(AG7&lt;=960000,35%,45%))))))-IF(AG7&lt;=36000,0,IF(AG7&lt;=144000,2520,IF(AG7&lt;=300000,16920,IF(AG7&lt;=420000,31920,IF(AG7&lt;=660000,52920,IF(AG7&lt;=960000,85920,181920))))))-$F7))</f>
        <v/>
      </c>
      <c r="AX7" s="15">
        <f>IF(AH7="","",MAX(0,AH7*IF(AH7&lt;=36000,3%,IF(AH7&lt;=144000,10%,IF(AH7&lt;=300000,20%,IF(AH7&lt;=420000,25%,IF(AH7&lt;=660000,30%,IF(AH7&lt;=960000,35%,45%))))))-IF(AH7&lt;=36000,0,IF(AH7&lt;=144000,2520,IF(AH7&lt;=300000,16920,IF(AH7&lt;=420000,31920,IF(AH7&lt;=660000,52920,IF(AH7&lt;=960000,85920,181920))))))-$F7))</f>
        <v/>
      </c>
      <c r="AY7" s="15">
        <f>IF(AI7="","",MAX(0,AI7*IF(AI7&lt;=36000,3%,IF(AI7&lt;=144000,10%,IF(AI7&lt;=300000,20%,IF(AI7&lt;=420000,25%,IF(AI7&lt;=660000,30%,IF(AI7&lt;=960000,35%,45%))))))-IF(AI7&lt;=36000,0,IF(AI7&lt;=144000,2520,IF(AI7&lt;=300000,16920,IF(AI7&lt;=420000,31920,IF(AI7&lt;=660000,52920,IF(AI7&lt;=960000,85920,181920))))))-$F7))</f>
        <v/>
      </c>
      <c r="AZ7" s="15">
        <f>IF(AJ7="","",MAX(0,AJ7*IF(AJ7&lt;=36000,3%,IF(AJ7&lt;=144000,10%,IF(AJ7&lt;=300000,20%,IF(AJ7&lt;=420000,25%,IF(AJ7&lt;=660000,30%,IF(AJ7&lt;=960000,35%,45%))))))-IF(AJ7&lt;=36000,0,IF(AJ7&lt;=144000,2520,IF(AJ7&lt;=300000,16920,IF(AJ7&lt;=420000,31920,IF(AJ7&lt;=660000,52920,IF(AJ7&lt;=960000,85920,181920))))))-$F7))</f>
        <v/>
      </c>
      <c r="BA7" s="15">
        <f>IF(AK7="","",MAX(0,AK7*IF(AK7&lt;=36000,3%,IF(AK7&lt;=144000,10%,IF(AK7&lt;=300000,20%,IF(AK7&lt;=420000,25%,IF(AK7&lt;=660000,30%,IF(AK7&lt;=960000,35%,45%))))))-IF(AK7&lt;=36000,0,IF(AK7&lt;=144000,2520,IF(AK7&lt;=300000,16920,IF(AK7&lt;=420000,31920,IF(AK7&lt;=660000,52920,IF(AK7&lt;=960000,85920,181920))))))-$F7))</f>
        <v/>
      </c>
      <c r="BB7" s="15">
        <f>IF(AL7="","",MAX(0,AL7*IF(AL7&lt;=36000,3%,IF(AL7&lt;=144000,10%,IF(AL7&lt;=300000,20%,IF(AL7&lt;=420000,25%,IF(AL7&lt;=660000,30%,IF(AL7&lt;=960000,35%,45%))))))-IF(AL7&lt;=36000,0,IF(AL7&lt;=144000,2520,IF(AL7&lt;=300000,16920,IF(AL7&lt;=420000,31920,IF(AL7&lt;=660000,52920,IF(AL7&lt;=960000,85920,181920))))))-$F7))</f>
        <v/>
      </c>
      <c r="BC7" s="15">
        <f>IF(AM7="","",MAX(0,AM7*IF(AM7&lt;=36000,3%,IF(AM7&lt;=144000,10%,IF(AM7&lt;=300000,20%,IF(AM7&lt;=420000,25%,IF(AM7&lt;=660000,30%,IF(AM7&lt;=960000,35%,45%))))))-IF(AM7&lt;=36000,0,IF(AM7&lt;=144000,2520,IF(AM7&lt;=300000,16920,IF(AM7&lt;=420000,31920,IF(AM7&lt;=660000,52920,IF(AM7&lt;=960000,85920,181920))))))-$F7))</f>
        <v/>
      </c>
      <c r="BD7" s="15">
        <f>IF(AN7="","",MAX(0,AN7*IF(AN7&lt;=36000,3%,IF(AN7&lt;=144000,10%,IF(AN7&lt;=300000,20%,IF(AN7&lt;=420000,25%,IF(AN7&lt;=660000,30%,IF(AN7&lt;=960000,35%,45%))))))-IF(AN7&lt;=36000,0,IF(AN7&lt;=144000,2520,IF(AN7&lt;=300000,16920,IF(AN7&lt;=420000,31920,IF(AN7&lt;=660000,52920,IF(AN7&lt;=960000,85920,181920))))))-$F7))</f>
        <v/>
      </c>
      <c r="BE7" s="15">
        <f>IF(AO7="","",MAX(0,AO7*IF(AO7&lt;=36000,3%,IF(AO7&lt;=144000,10%,IF(AO7&lt;=300000,20%,IF(AO7&lt;=420000,25%,IF(AO7&lt;=660000,30%,IF(AO7&lt;=960000,35%,45%))))))-IF(AO7&lt;=36000,0,IF(AO7&lt;=144000,2520,IF(AO7&lt;=300000,16920,IF(AO7&lt;=420000,31920,IF(AO7&lt;=660000,52920,IF(AO7&lt;=960000,85920,181920))))))-$F7))</f>
        <v/>
      </c>
      <c r="BF7" s="15">
        <f>IF(J7="","",J7-(IF(J7/(1+IF(J7&lt;100000,0,1%))&lt;100000,0,J7/(1+IF(J7&lt;100000,0,1%))*1%))-(IF(J7/(1+IF(J7&lt;100000,0,1%))&lt;100000,0,J7/(1+IF(J7&lt;100000,0,1%))*1%*5%))-AP7)</f>
        <v/>
      </c>
      <c r="BG7" s="15">
        <f>IF(K7="","",K7-(IF(K7/(1+IF(K7&lt;100000,0,1%))&lt;100000,0,K7/(1+IF(K7&lt;100000,0,1%))*1%))-(IF(K7/(1+IF(K7&lt;100000,0,1%))&lt;100000,0,K7/(1+IF(K7&lt;100000,0,1%))*1%*5%))-AQ7)</f>
        <v/>
      </c>
      <c r="BH7" s="15">
        <f>IF(L7="","",L7-(IF(L7/(1+IF(L7&lt;100000,0,1%))&lt;100000,0,L7/(1+IF(L7&lt;100000,0,1%))*1%))-(IF(L7/(1+IF(L7&lt;100000,0,1%))&lt;100000,0,L7/(1+IF(L7&lt;100000,0,1%))*1%*5%))-AR7)</f>
        <v/>
      </c>
      <c r="BI7" s="15">
        <f>IF(M7="","",M7-(IF(M7/(1+IF(M7&lt;100000,0,1%))&lt;100000,0,M7/(1+IF(M7&lt;100000,0,1%))*1%))-(IF(M7/(1+IF(M7&lt;100000,0,1%))&lt;100000,0,M7/(1+IF(M7&lt;100000,0,1%))*1%*5%))-AS7)</f>
        <v/>
      </c>
      <c r="BJ7" s="15">
        <f>IF(N7="","",N7-(IF(N7/(1+IF(N7&lt;100000,0,1%))&lt;100000,0,N7/(1+IF(N7&lt;100000,0,1%))*1%))-(IF(N7/(1+IF(N7&lt;100000,0,1%))&lt;100000,0,N7/(1+IF(N7&lt;100000,0,1%))*1%*5%))-AT7)</f>
        <v/>
      </c>
      <c r="BK7" s="15">
        <f>IF(O7="","",O7-(IF(O7/(1+IF(O7&lt;100000,0,1%))&lt;100000,0,O7/(1+IF(O7&lt;100000,0,1%))*1%))-(IF(O7/(1+IF(O7&lt;100000,0,1%))&lt;100000,0,O7/(1+IF(O7&lt;100000,0,1%))*1%*5%))-AU7)</f>
        <v/>
      </c>
      <c r="BL7" s="15">
        <f>IF(P7="","",P7-(IF(P7/(1+IF(P7&lt;100000,0,1%))&lt;100000,0,P7/(1+IF(P7&lt;100000,0,1%))*1%))-(IF(P7/(1+IF(P7&lt;100000,0,1%))&lt;100000,0,P7/(1+IF(P7&lt;100000,0,1%))*1%*5%))-AV7)</f>
        <v/>
      </c>
      <c r="BM7" s="15">
        <f>IF(Q7="","",Q7-(IF(Q7/(1+IF(Q7&lt;100000,0,1%))&lt;100000,0,Q7/(1+IF(Q7&lt;100000,0,1%))*1%))-(IF(Q7/(1+IF(Q7&lt;100000,0,1%))&lt;100000,0,Q7/(1+IF(Q7&lt;100000,0,1%))*1%*5%))-AW7)</f>
        <v/>
      </c>
      <c r="BN7" s="15">
        <f>IF(R7="","",R7-(IF(R7/(1+IF(R7&lt;100000,0,1%))&lt;100000,0,R7/(1+IF(R7&lt;100000,0,1%))*1%))-(IF(R7/(1+IF(R7&lt;100000,0,1%))&lt;100000,0,R7/(1+IF(R7&lt;100000,0,1%))*1%*5%))-AX7)</f>
        <v/>
      </c>
      <c r="BO7" s="15">
        <f>IF(S7="","",S7-(IF(S7/(1+IF(S7&lt;100000,0,1%))&lt;100000,0,S7/(1+IF(S7&lt;100000,0,1%))*1%))-(IF(S7/(1+IF(S7&lt;100000,0,1%))&lt;100000,0,S7/(1+IF(S7&lt;100000,0,1%))*1%*5%))-AY7)</f>
        <v/>
      </c>
      <c r="BP7" s="15">
        <f>IF(T7="","",T7-(IF(T7/(1+IF(T7&lt;100000,0,1%))&lt;100000,0,T7/(1+IF(T7&lt;100000,0,1%))*1%))-(IF(T7/(1+IF(T7&lt;100000,0,1%))&lt;100000,0,T7/(1+IF(T7&lt;100000,0,1%))*1%*5%))-AZ7)</f>
        <v/>
      </c>
      <c r="BQ7" s="15">
        <f>IF(U7="","",U7-(IF(U7/(1+IF(U7&lt;100000,0,1%))&lt;100000,0,U7/(1+IF(U7&lt;100000,0,1%))*1%))-(IF(U7/(1+IF(U7&lt;100000,0,1%))&lt;100000,0,U7/(1+IF(U7&lt;100000,0,1%))*1%*5%))-BA7)</f>
        <v/>
      </c>
      <c r="BR7" s="15">
        <f>IF(V7="","",V7-(IF(V7/(1+IF(V7&lt;100000,0,1%))&lt;100000,0,V7/(1+IF(V7&lt;100000,0,1%))*1%))-(IF(V7/(1+IF(V7&lt;100000,0,1%))&lt;100000,0,V7/(1+IF(V7&lt;100000,0,1%))*1%*5%))-BB7)</f>
        <v/>
      </c>
      <c r="BS7" s="15">
        <f>IF(W7="","",W7-(IF(W7/(1+IF(W7&lt;100000,0,1%))&lt;100000,0,W7/(1+IF(W7&lt;100000,0,1%))*1%))-(IF(W7/(1+IF(W7&lt;100000,0,1%))&lt;100000,0,W7/(1+IF(W7&lt;100000,0,1%))*1%*5%))-BC7)</f>
        <v/>
      </c>
      <c r="BT7" s="15">
        <f>IF(X7="","",X7-(IF(X7/(1+IF(X7&lt;100000,0,1%))&lt;100000,0,X7/(1+IF(X7&lt;100000,0,1%))*1%))-(IF(X7/(1+IF(X7&lt;100000,0,1%))&lt;100000,0,X7/(1+IF(X7&lt;100000,0,1%))*1%*5%))-BD7)</f>
        <v/>
      </c>
      <c r="BU7" s="15">
        <f>IF(Y7="","",Y7-(IF(Y7/(1+IF(Y7&lt;100000,0,1%))&lt;100000,0,Y7/(1+IF(Y7&lt;100000,0,1%))*1%))-(IF(Y7/(1+IF(Y7&lt;100000,0,1%))&lt;100000,0,Y7/(1+IF(Y7&lt;100000,0,1%))*1%*5%))-BE7)</f>
        <v/>
      </c>
      <c r="BV7" s="15">
        <f>IF(BF7="","",ABS(BF7-$B7))</f>
        <v/>
      </c>
      <c r="BW7" s="15">
        <f>IF(BG7="","",ABS(BG7-$B7))</f>
        <v/>
      </c>
      <c r="BX7" s="15">
        <f>IF(BH7="","",ABS(BH7-$B7))</f>
        <v/>
      </c>
      <c r="BY7" s="15">
        <f>IF(BI7="","",ABS(BI7-$B7))</f>
        <v/>
      </c>
      <c r="BZ7" s="15">
        <f>IF(BJ7="","",ABS(BJ7-$B7))</f>
        <v/>
      </c>
      <c r="CA7" s="15">
        <f>IF(BK7="","",ABS(BK7-$B7))</f>
        <v/>
      </c>
      <c r="CB7" s="15">
        <f>IF(BL7="","",ABS(BL7-$B7))</f>
        <v/>
      </c>
      <c r="CC7" s="15">
        <f>IF(BM7="","",ABS(BM7-$B7))</f>
        <v/>
      </c>
      <c r="CD7" s="15">
        <f>IF(BN7="","",ABS(BN7-$B7))</f>
        <v/>
      </c>
      <c r="CE7" s="15">
        <f>IF(BO7="","",ABS(BO7-$B7))</f>
        <v/>
      </c>
      <c r="CF7" s="15">
        <f>IF(BP7="","",ABS(BP7-$B7))</f>
        <v/>
      </c>
      <c r="CG7" s="15">
        <f>IF(BQ7="","",ABS(BQ7-$B7))</f>
        <v/>
      </c>
      <c r="CH7" s="15">
        <f>IF(BR7="","",ABS(BR7-$B7))</f>
        <v/>
      </c>
      <c r="CI7" s="15">
        <f>IF(BS7="","",ABS(BS7-$B7))</f>
        <v/>
      </c>
      <c r="CJ7" s="15">
        <f>IF(BT7="","",ABS(BT7-$B7))</f>
        <v/>
      </c>
      <c r="CK7" s="15">
        <f>IF(BU7="","",ABS(BU7-$B7))</f>
        <v/>
      </c>
      <c r="CL7" s="14">
        <f>IF(J7="","",AND(J7&gt;0,J7&lt;101000,BV7&lt;0.05,AP7=0))</f>
        <v/>
      </c>
      <c r="CM7" s="14">
        <f>IF(K7="","",AND(K7&gt;0,K7&gt;=101000,BW7&lt;0.05,AQ7=0))</f>
        <v/>
      </c>
      <c r="CN7" s="14">
        <f>IF(L7="","",AND(L7&gt;0,L7&lt;101000,BX7&lt;0.05,AR7&gt;0))</f>
        <v/>
      </c>
      <c r="CO7" s="14">
        <f>IF(M7="","",AND(M7&gt;0,M7&lt;101000,BY7&lt;0.05,AS7&gt;0))</f>
        <v/>
      </c>
      <c r="CP7" s="14">
        <f>IF(N7="","",AND(N7&gt;0,N7&lt;101000,BZ7&lt;0.05,AT7&gt;0))</f>
        <v/>
      </c>
      <c r="CQ7" s="14">
        <f>IF(O7="","",AND(O7&gt;0,O7&lt;101000,CA7&lt;0.05,AU7&gt;0))</f>
        <v/>
      </c>
      <c r="CR7" s="14">
        <f>IF(P7="","",AND(P7&gt;0,P7&lt;101000,CB7&lt;0.05,AV7&gt;0))</f>
        <v/>
      </c>
      <c r="CS7" s="14">
        <f>IF(Q7="","",AND(Q7&gt;0,Q7&lt;101000,CC7&lt;0.05,AW7&gt;0))</f>
        <v/>
      </c>
      <c r="CT7" s="14">
        <f>IF(R7="","",AND(R7&gt;0,R7&lt;101000,CD7&lt;0.05,AX7&gt;0))</f>
        <v/>
      </c>
      <c r="CU7" s="14">
        <f>IF(S7="","",AND(S7&gt;0,S7&gt;=101000,CE7&lt;0.05,AY7&gt;0))</f>
        <v/>
      </c>
      <c r="CV7" s="14">
        <f>IF(T7="","",AND(T7&gt;0,T7&gt;=101000,CF7&lt;0.05,AZ7&gt;0))</f>
        <v/>
      </c>
      <c r="CW7" s="14">
        <f>IF(U7="","",AND(U7&gt;0,U7&gt;=101000,CG7&lt;0.05,BA7&gt;0))</f>
        <v/>
      </c>
      <c r="CX7" s="14">
        <f>IF(V7="","",AND(V7&gt;0,V7&gt;=101000,CH7&lt;0.05,BB7&gt;0))</f>
        <v/>
      </c>
      <c r="CY7" s="14">
        <f>IF(W7="","",AND(W7&gt;0,W7&gt;=101000,CI7&lt;0.05,BC7&gt;0))</f>
        <v/>
      </c>
      <c r="CZ7" s="14">
        <f>IF(X7="","",AND(X7&gt;0,X7&gt;=101000,CJ7&lt;0.05,BD7&gt;0))</f>
        <v/>
      </c>
      <c r="DA7" s="14">
        <f>IF(Y7="","",AND(Y7&gt;0,Y7&gt;=101000,CK7&lt;0.05,BE7&gt;0))</f>
        <v/>
      </c>
      <c r="DB7" s="14">
        <f>IFERROR(MATCH(TRUE,CL7:DA7,0),"")</f>
        <v/>
      </c>
      <c r="DC7" s="15">
        <f>IF(DB7="","",INDEX(J7:Y7,DB7))</f>
        <v/>
      </c>
      <c r="DD7" s="15">
        <f>IF(DB7="","",INDEX(BF7:BU7,DB7))</f>
        <v/>
      </c>
    </row>
    <row r="8">
      <c r="A8" s="14" t="n">
        <v>7</v>
      </c>
      <c r="B8" s="15">
        <f>'月度计算'!C11</f>
        <v/>
      </c>
      <c r="C8" s="14">
        <f>'月度计算'!D11</f>
        <v/>
      </c>
      <c r="D8" s="15">
        <f>'月度计算'!B11</f>
        <v/>
      </c>
      <c r="E8" s="14">
        <f>'月度计算'!E11</f>
        <v/>
      </c>
      <c r="F8" s="15">
        <f>'月度计算'!F11</f>
        <v/>
      </c>
      <c r="G8" s="15">
        <f>'月度计算'!AB11</f>
        <v/>
      </c>
      <c r="H8" s="15">
        <f>'月度计算'!AC11</f>
        <v/>
      </c>
      <c r="I8" s="15">
        <f>IF(C8=0,"",G8*80%-5000*E8-H8)</f>
        <v/>
      </c>
      <c r="J8" s="15">
        <f>IF(OR($C8=0,$B8="",$D8&lt;&gt;""),"",$B8/(1-(0)))</f>
        <v/>
      </c>
      <c r="K8" s="15">
        <f>IF(OR($C8=0,$B8="",$D8&lt;&gt;""),"",$B8/(1-(21/2020)))</f>
        <v/>
      </c>
      <c r="L8" s="15">
        <f>IF(OR($C8=0,$B8="",$D8&lt;&gt;""),"",($B8-0-$F8+$I8*0.03)/(1-(0)-(0.8)*0.03))</f>
        <v/>
      </c>
      <c r="M8" s="15">
        <f>IF(OR($C8=0,$B8="",$D8&lt;&gt;""),"",($B8-2520-$F8+$I8*0.1)/(1-(0)-(0.8)*0.1))</f>
        <v/>
      </c>
      <c r="N8" s="15">
        <f>IF(OR($C8=0,$B8="",$D8&lt;&gt;""),"",($B8-16920-$F8+$I8*0.2)/(1-(0)-(0.8)*0.2))</f>
        <v/>
      </c>
      <c r="O8" s="15">
        <f>IF(OR($C8=0,$B8="",$D8&lt;&gt;""),"",($B8-31920-$F8+$I8*0.25)/(1-(0)-(0.8)*0.25))</f>
        <v/>
      </c>
      <c r="P8" s="15">
        <f>IF(OR($C8=0,$B8="",$D8&lt;&gt;""),"",($B8-52920-$F8+$I8*0.3)/(1-(0)-(0.8)*0.3))</f>
        <v/>
      </c>
      <c r="Q8" s="15">
        <f>IF(OR($C8=0,$B8="",$D8&lt;&gt;""),"",($B8-85920-$F8+$I8*0.35)/(1-(0)-(0.8)*0.35))</f>
        <v/>
      </c>
      <c r="R8" s="15">
        <f>IF(OR($C8=0,$B8="",$D8&lt;&gt;""),"",($B8-181920-$F8+$I8*0.45)/(1-(0)-(0.8)*0.45))</f>
        <v/>
      </c>
      <c r="S8" s="15">
        <f>IF(OR($C8=0,$B8="",$D8&lt;&gt;""),"",($B8-0-$F8+$I8*0.03)/(1-(21/2020)-(1599/2020)*0.03))</f>
        <v/>
      </c>
      <c r="T8" s="15">
        <f>IF(OR($C8=0,$B8="",$D8&lt;&gt;""),"",($B8-2520-$F8+$I8*0.1)/(1-(21/2020)-(1599/2020)*0.1))</f>
        <v/>
      </c>
      <c r="U8" s="15">
        <f>IF(OR($C8=0,$B8="",$D8&lt;&gt;""),"",($B8-16920-$F8+$I8*0.2)/(1-(21/2020)-(1599/2020)*0.2))</f>
        <v/>
      </c>
      <c r="V8" s="15">
        <f>IF(OR($C8=0,$B8="",$D8&lt;&gt;""),"",($B8-31920-$F8+$I8*0.25)/(1-(21/2020)-(1599/2020)*0.25))</f>
        <v/>
      </c>
      <c r="W8" s="15">
        <f>IF(OR($C8=0,$B8="",$D8&lt;&gt;""),"",($B8-52920-$F8+$I8*0.3)/(1-(21/2020)-(1599/2020)*0.3))</f>
        <v/>
      </c>
      <c r="X8" s="15">
        <f>IF(OR($C8=0,$B8="",$D8&lt;&gt;""),"",($B8-85920-$F8+$I8*0.35)/(1-(21/2020)-(1599/2020)*0.35))</f>
        <v/>
      </c>
      <c r="Y8" s="15">
        <f>IF(OR($C8=0,$B8="",$D8&lt;&gt;""),"",($B8-181920-$F8+$I8*0.45)/(1-(21/2020)-(1599/2020)*0.45))</f>
        <v/>
      </c>
      <c r="Z8" s="15">
        <f>IF(J8="","",($G8+J8-(IF(J8/(1+IF(J8&lt;100000,0,1%))&lt;100000,0,J8/(1+IF(J8&lt;100000,0,1%))*1%)))*80%-5000*$E8-($H8+(IF(J8/(1+IF(J8&lt;100000,0,1%))&lt;100000,0,J8/(1+IF(J8&lt;100000,0,1%))*1%*5%))))</f>
        <v/>
      </c>
      <c r="AA8" s="15">
        <f>IF(K8="","",($G8+K8-(IF(K8/(1+IF(K8&lt;100000,0,1%))&lt;100000,0,K8/(1+IF(K8&lt;100000,0,1%))*1%)))*80%-5000*$E8-($H8+(IF(K8/(1+IF(K8&lt;100000,0,1%))&lt;100000,0,K8/(1+IF(K8&lt;100000,0,1%))*1%*5%))))</f>
        <v/>
      </c>
      <c r="AB8" s="15">
        <f>IF(L8="","",($G8+L8-(IF(L8/(1+IF(L8&lt;100000,0,1%))&lt;100000,0,L8/(1+IF(L8&lt;100000,0,1%))*1%)))*80%-5000*$E8-($H8+(IF(L8/(1+IF(L8&lt;100000,0,1%))&lt;100000,0,L8/(1+IF(L8&lt;100000,0,1%))*1%*5%))))</f>
        <v/>
      </c>
      <c r="AC8" s="15">
        <f>IF(M8="","",($G8+M8-(IF(M8/(1+IF(M8&lt;100000,0,1%))&lt;100000,0,M8/(1+IF(M8&lt;100000,0,1%))*1%)))*80%-5000*$E8-($H8+(IF(M8/(1+IF(M8&lt;100000,0,1%))&lt;100000,0,M8/(1+IF(M8&lt;100000,0,1%))*1%*5%))))</f>
        <v/>
      </c>
      <c r="AD8" s="15">
        <f>IF(N8="","",($G8+N8-(IF(N8/(1+IF(N8&lt;100000,0,1%))&lt;100000,0,N8/(1+IF(N8&lt;100000,0,1%))*1%)))*80%-5000*$E8-($H8+(IF(N8/(1+IF(N8&lt;100000,0,1%))&lt;100000,0,N8/(1+IF(N8&lt;100000,0,1%))*1%*5%))))</f>
        <v/>
      </c>
      <c r="AE8" s="15">
        <f>IF(O8="","",($G8+O8-(IF(O8/(1+IF(O8&lt;100000,0,1%))&lt;100000,0,O8/(1+IF(O8&lt;100000,0,1%))*1%)))*80%-5000*$E8-($H8+(IF(O8/(1+IF(O8&lt;100000,0,1%))&lt;100000,0,O8/(1+IF(O8&lt;100000,0,1%))*1%*5%))))</f>
        <v/>
      </c>
      <c r="AF8" s="15">
        <f>IF(P8="","",($G8+P8-(IF(P8/(1+IF(P8&lt;100000,0,1%))&lt;100000,0,P8/(1+IF(P8&lt;100000,0,1%))*1%)))*80%-5000*$E8-($H8+(IF(P8/(1+IF(P8&lt;100000,0,1%))&lt;100000,0,P8/(1+IF(P8&lt;100000,0,1%))*1%*5%))))</f>
        <v/>
      </c>
      <c r="AG8" s="15">
        <f>IF(Q8="","",($G8+Q8-(IF(Q8/(1+IF(Q8&lt;100000,0,1%))&lt;100000,0,Q8/(1+IF(Q8&lt;100000,0,1%))*1%)))*80%-5000*$E8-($H8+(IF(Q8/(1+IF(Q8&lt;100000,0,1%))&lt;100000,0,Q8/(1+IF(Q8&lt;100000,0,1%))*1%*5%))))</f>
        <v/>
      </c>
      <c r="AH8" s="15">
        <f>IF(R8="","",($G8+R8-(IF(R8/(1+IF(R8&lt;100000,0,1%))&lt;100000,0,R8/(1+IF(R8&lt;100000,0,1%))*1%)))*80%-5000*$E8-($H8+(IF(R8/(1+IF(R8&lt;100000,0,1%))&lt;100000,0,R8/(1+IF(R8&lt;100000,0,1%))*1%*5%))))</f>
        <v/>
      </c>
      <c r="AI8" s="15">
        <f>IF(S8="","",($G8+S8-(IF(S8/(1+IF(S8&lt;100000,0,1%))&lt;100000,0,S8/(1+IF(S8&lt;100000,0,1%))*1%)))*80%-5000*$E8-($H8+(IF(S8/(1+IF(S8&lt;100000,0,1%))&lt;100000,0,S8/(1+IF(S8&lt;100000,0,1%))*1%*5%))))</f>
        <v/>
      </c>
      <c r="AJ8" s="15">
        <f>IF(T8="","",($G8+T8-(IF(T8/(1+IF(T8&lt;100000,0,1%))&lt;100000,0,T8/(1+IF(T8&lt;100000,0,1%))*1%)))*80%-5000*$E8-($H8+(IF(T8/(1+IF(T8&lt;100000,0,1%))&lt;100000,0,T8/(1+IF(T8&lt;100000,0,1%))*1%*5%))))</f>
        <v/>
      </c>
      <c r="AK8" s="15">
        <f>IF(U8="","",($G8+U8-(IF(U8/(1+IF(U8&lt;100000,0,1%))&lt;100000,0,U8/(1+IF(U8&lt;100000,0,1%))*1%)))*80%-5000*$E8-($H8+(IF(U8/(1+IF(U8&lt;100000,0,1%))&lt;100000,0,U8/(1+IF(U8&lt;100000,0,1%))*1%*5%))))</f>
        <v/>
      </c>
      <c r="AL8" s="15">
        <f>IF(V8="","",($G8+V8-(IF(V8/(1+IF(V8&lt;100000,0,1%))&lt;100000,0,V8/(1+IF(V8&lt;100000,0,1%))*1%)))*80%-5000*$E8-($H8+(IF(V8/(1+IF(V8&lt;100000,0,1%))&lt;100000,0,V8/(1+IF(V8&lt;100000,0,1%))*1%*5%))))</f>
        <v/>
      </c>
      <c r="AM8" s="15">
        <f>IF(W8="","",($G8+W8-(IF(W8/(1+IF(W8&lt;100000,0,1%))&lt;100000,0,W8/(1+IF(W8&lt;100000,0,1%))*1%)))*80%-5000*$E8-($H8+(IF(W8/(1+IF(W8&lt;100000,0,1%))&lt;100000,0,W8/(1+IF(W8&lt;100000,0,1%))*1%*5%))))</f>
        <v/>
      </c>
      <c r="AN8" s="15">
        <f>IF(X8="","",($G8+X8-(IF(X8/(1+IF(X8&lt;100000,0,1%))&lt;100000,0,X8/(1+IF(X8&lt;100000,0,1%))*1%)))*80%-5000*$E8-($H8+(IF(X8/(1+IF(X8&lt;100000,0,1%))&lt;100000,0,X8/(1+IF(X8&lt;100000,0,1%))*1%*5%))))</f>
        <v/>
      </c>
      <c r="AO8" s="15">
        <f>IF(Y8="","",($G8+Y8-(IF(Y8/(1+IF(Y8&lt;100000,0,1%))&lt;100000,0,Y8/(1+IF(Y8&lt;100000,0,1%))*1%)))*80%-5000*$E8-($H8+(IF(Y8/(1+IF(Y8&lt;100000,0,1%))&lt;100000,0,Y8/(1+IF(Y8&lt;100000,0,1%))*1%*5%))))</f>
        <v/>
      </c>
      <c r="AP8" s="15">
        <f>IF(Z8="","",MAX(0,Z8*IF(Z8&lt;=36000,3%,IF(Z8&lt;=144000,10%,IF(Z8&lt;=300000,20%,IF(Z8&lt;=420000,25%,IF(Z8&lt;=660000,30%,IF(Z8&lt;=960000,35%,45%))))))-IF(Z8&lt;=36000,0,IF(Z8&lt;=144000,2520,IF(Z8&lt;=300000,16920,IF(Z8&lt;=420000,31920,IF(Z8&lt;=660000,52920,IF(Z8&lt;=960000,85920,181920))))))-$F8))</f>
        <v/>
      </c>
      <c r="AQ8" s="15">
        <f>IF(AA8="","",MAX(0,AA8*IF(AA8&lt;=36000,3%,IF(AA8&lt;=144000,10%,IF(AA8&lt;=300000,20%,IF(AA8&lt;=420000,25%,IF(AA8&lt;=660000,30%,IF(AA8&lt;=960000,35%,45%))))))-IF(AA8&lt;=36000,0,IF(AA8&lt;=144000,2520,IF(AA8&lt;=300000,16920,IF(AA8&lt;=420000,31920,IF(AA8&lt;=660000,52920,IF(AA8&lt;=960000,85920,181920))))))-$F8))</f>
        <v/>
      </c>
      <c r="AR8" s="15">
        <f>IF(AB8="","",MAX(0,AB8*IF(AB8&lt;=36000,3%,IF(AB8&lt;=144000,10%,IF(AB8&lt;=300000,20%,IF(AB8&lt;=420000,25%,IF(AB8&lt;=660000,30%,IF(AB8&lt;=960000,35%,45%))))))-IF(AB8&lt;=36000,0,IF(AB8&lt;=144000,2520,IF(AB8&lt;=300000,16920,IF(AB8&lt;=420000,31920,IF(AB8&lt;=660000,52920,IF(AB8&lt;=960000,85920,181920))))))-$F8))</f>
        <v/>
      </c>
      <c r="AS8" s="15">
        <f>IF(AC8="","",MAX(0,AC8*IF(AC8&lt;=36000,3%,IF(AC8&lt;=144000,10%,IF(AC8&lt;=300000,20%,IF(AC8&lt;=420000,25%,IF(AC8&lt;=660000,30%,IF(AC8&lt;=960000,35%,45%))))))-IF(AC8&lt;=36000,0,IF(AC8&lt;=144000,2520,IF(AC8&lt;=300000,16920,IF(AC8&lt;=420000,31920,IF(AC8&lt;=660000,52920,IF(AC8&lt;=960000,85920,181920))))))-$F8))</f>
        <v/>
      </c>
      <c r="AT8" s="15">
        <f>IF(AD8="","",MAX(0,AD8*IF(AD8&lt;=36000,3%,IF(AD8&lt;=144000,10%,IF(AD8&lt;=300000,20%,IF(AD8&lt;=420000,25%,IF(AD8&lt;=660000,30%,IF(AD8&lt;=960000,35%,45%))))))-IF(AD8&lt;=36000,0,IF(AD8&lt;=144000,2520,IF(AD8&lt;=300000,16920,IF(AD8&lt;=420000,31920,IF(AD8&lt;=660000,52920,IF(AD8&lt;=960000,85920,181920))))))-$F8))</f>
        <v/>
      </c>
      <c r="AU8" s="15">
        <f>IF(AE8="","",MAX(0,AE8*IF(AE8&lt;=36000,3%,IF(AE8&lt;=144000,10%,IF(AE8&lt;=300000,20%,IF(AE8&lt;=420000,25%,IF(AE8&lt;=660000,30%,IF(AE8&lt;=960000,35%,45%))))))-IF(AE8&lt;=36000,0,IF(AE8&lt;=144000,2520,IF(AE8&lt;=300000,16920,IF(AE8&lt;=420000,31920,IF(AE8&lt;=660000,52920,IF(AE8&lt;=960000,85920,181920))))))-$F8))</f>
        <v/>
      </c>
      <c r="AV8" s="15">
        <f>IF(AF8="","",MAX(0,AF8*IF(AF8&lt;=36000,3%,IF(AF8&lt;=144000,10%,IF(AF8&lt;=300000,20%,IF(AF8&lt;=420000,25%,IF(AF8&lt;=660000,30%,IF(AF8&lt;=960000,35%,45%))))))-IF(AF8&lt;=36000,0,IF(AF8&lt;=144000,2520,IF(AF8&lt;=300000,16920,IF(AF8&lt;=420000,31920,IF(AF8&lt;=660000,52920,IF(AF8&lt;=960000,85920,181920))))))-$F8))</f>
        <v/>
      </c>
      <c r="AW8" s="15">
        <f>IF(AG8="","",MAX(0,AG8*IF(AG8&lt;=36000,3%,IF(AG8&lt;=144000,10%,IF(AG8&lt;=300000,20%,IF(AG8&lt;=420000,25%,IF(AG8&lt;=660000,30%,IF(AG8&lt;=960000,35%,45%))))))-IF(AG8&lt;=36000,0,IF(AG8&lt;=144000,2520,IF(AG8&lt;=300000,16920,IF(AG8&lt;=420000,31920,IF(AG8&lt;=660000,52920,IF(AG8&lt;=960000,85920,181920))))))-$F8))</f>
        <v/>
      </c>
      <c r="AX8" s="15">
        <f>IF(AH8="","",MAX(0,AH8*IF(AH8&lt;=36000,3%,IF(AH8&lt;=144000,10%,IF(AH8&lt;=300000,20%,IF(AH8&lt;=420000,25%,IF(AH8&lt;=660000,30%,IF(AH8&lt;=960000,35%,45%))))))-IF(AH8&lt;=36000,0,IF(AH8&lt;=144000,2520,IF(AH8&lt;=300000,16920,IF(AH8&lt;=420000,31920,IF(AH8&lt;=660000,52920,IF(AH8&lt;=960000,85920,181920))))))-$F8))</f>
        <v/>
      </c>
      <c r="AY8" s="15">
        <f>IF(AI8="","",MAX(0,AI8*IF(AI8&lt;=36000,3%,IF(AI8&lt;=144000,10%,IF(AI8&lt;=300000,20%,IF(AI8&lt;=420000,25%,IF(AI8&lt;=660000,30%,IF(AI8&lt;=960000,35%,45%))))))-IF(AI8&lt;=36000,0,IF(AI8&lt;=144000,2520,IF(AI8&lt;=300000,16920,IF(AI8&lt;=420000,31920,IF(AI8&lt;=660000,52920,IF(AI8&lt;=960000,85920,181920))))))-$F8))</f>
        <v/>
      </c>
      <c r="AZ8" s="15">
        <f>IF(AJ8="","",MAX(0,AJ8*IF(AJ8&lt;=36000,3%,IF(AJ8&lt;=144000,10%,IF(AJ8&lt;=300000,20%,IF(AJ8&lt;=420000,25%,IF(AJ8&lt;=660000,30%,IF(AJ8&lt;=960000,35%,45%))))))-IF(AJ8&lt;=36000,0,IF(AJ8&lt;=144000,2520,IF(AJ8&lt;=300000,16920,IF(AJ8&lt;=420000,31920,IF(AJ8&lt;=660000,52920,IF(AJ8&lt;=960000,85920,181920))))))-$F8))</f>
        <v/>
      </c>
      <c r="BA8" s="15">
        <f>IF(AK8="","",MAX(0,AK8*IF(AK8&lt;=36000,3%,IF(AK8&lt;=144000,10%,IF(AK8&lt;=300000,20%,IF(AK8&lt;=420000,25%,IF(AK8&lt;=660000,30%,IF(AK8&lt;=960000,35%,45%))))))-IF(AK8&lt;=36000,0,IF(AK8&lt;=144000,2520,IF(AK8&lt;=300000,16920,IF(AK8&lt;=420000,31920,IF(AK8&lt;=660000,52920,IF(AK8&lt;=960000,85920,181920))))))-$F8))</f>
        <v/>
      </c>
      <c r="BB8" s="15">
        <f>IF(AL8="","",MAX(0,AL8*IF(AL8&lt;=36000,3%,IF(AL8&lt;=144000,10%,IF(AL8&lt;=300000,20%,IF(AL8&lt;=420000,25%,IF(AL8&lt;=660000,30%,IF(AL8&lt;=960000,35%,45%))))))-IF(AL8&lt;=36000,0,IF(AL8&lt;=144000,2520,IF(AL8&lt;=300000,16920,IF(AL8&lt;=420000,31920,IF(AL8&lt;=660000,52920,IF(AL8&lt;=960000,85920,181920))))))-$F8))</f>
        <v/>
      </c>
      <c r="BC8" s="15">
        <f>IF(AM8="","",MAX(0,AM8*IF(AM8&lt;=36000,3%,IF(AM8&lt;=144000,10%,IF(AM8&lt;=300000,20%,IF(AM8&lt;=420000,25%,IF(AM8&lt;=660000,30%,IF(AM8&lt;=960000,35%,45%))))))-IF(AM8&lt;=36000,0,IF(AM8&lt;=144000,2520,IF(AM8&lt;=300000,16920,IF(AM8&lt;=420000,31920,IF(AM8&lt;=660000,52920,IF(AM8&lt;=960000,85920,181920))))))-$F8))</f>
        <v/>
      </c>
      <c r="BD8" s="15">
        <f>IF(AN8="","",MAX(0,AN8*IF(AN8&lt;=36000,3%,IF(AN8&lt;=144000,10%,IF(AN8&lt;=300000,20%,IF(AN8&lt;=420000,25%,IF(AN8&lt;=660000,30%,IF(AN8&lt;=960000,35%,45%))))))-IF(AN8&lt;=36000,0,IF(AN8&lt;=144000,2520,IF(AN8&lt;=300000,16920,IF(AN8&lt;=420000,31920,IF(AN8&lt;=660000,52920,IF(AN8&lt;=960000,85920,181920))))))-$F8))</f>
        <v/>
      </c>
      <c r="BE8" s="15">
        <f>IF(AO8="","",MAX(0,AO8*IF(AO8&lt;=36000,3%,IF(AO8&lt;=144000,10%,IF(AO8&lt;=300000,20%,IF(AO8&lt;=420000,25%,IF(AO8&lt;=660000,30%,IF(AO8&lt;=960000,35%,45%))))))-IF(AO8&lt;=36000,0,IF(AO8&lt;=144000,2520,IF(AO8&lt;=300000,16920,IF(AO8&lt;=420000,31920,IF(AO8&lt;=660000,52920,IF(AO8&lt;=960000,85920,181920))))))-$F8))</f>
        <v/>
      </c>
      <c r="BF8" s="15">
        <f>IF(J8="","",J8-(IF(J8/(1+IF(J8&lt;100000,0,1%))&lt;100000,0,J8/(1+IF(J8&lt;100000,0,1%))*1%))-(IF(J8/(1+IF(J8&lt;100000,0,1%))&lt;100000,0,J8/(1+IF(J8&lt;100000,0,1%))*1%*5%))-AP8)</f>
        <v/>
      </c>
      <c r="BG8" s="15">
        <f>IF(K8="","",K8-(IF(K8/(1+IF(K8&lt;100000,0,1%))&lt;100000,0,K8/(1+IF(K8&lt;100000,0,1%))*1%))-(IF(K8/(1+IF(K8&lt;100000,0,1%))&lt;100000,0,K8/(1+IF(K8&lt;100000,0,1%))*1%*5%))-AQ8)</f>
        <v/>
      </c>
      <c r="BH8" s="15">
        <f>IF(L8="","",L8-(IF(L8/(1+IF(L8&lt;100000,0,1%))&lt;100000,0,L8/(1+IF(L8&lt;100000,0,1%))*1%))-(IF(L8/(1+IF(L8&lt;100000,0,1%))&lt;100000,0,L8/(1+IF(L8&lt;100000,0,1%))*1%*5%))-AR8)</f>
        <v/>
      </c>
      <c r="BI8" s="15">
        <f>IF(M8="","",M8-(IF(M8/(1+IF(M8&lt;100000,0,1%))&lt;100000,0,M8/(1+IF(M8&lt;100000,0,1%))*1%))-(IF(M8/(1+IF(M8&lt;100000,0,1%))&lt;100000,0,M8/(1+IF(M8&lt;100000,0,1%))*1%*5%))-AS8)</f>
        <v/>
      </c>
      <c r="BJ8" s="15">
        <f>IF(N8="","",N8-(IF(N8/(1+IF(N8&lt;100000,0,1%))&lt;100000,0,N8/(1+IF(N8&lt;100000,0,1%))*1%))-(IF(N8/(1+IF(N8&lt;100000,0,1%))&lt;100000,0,N8/(1+IF(N8&lt;100000,0,1%))*1%*5%))-AT8)</f>
        <v/>
      </c>
      <c r="BK8" s="15">
        <f>IF(O8="","",O8-(IF(O8/(1+IF(O8&lt;100000,0,1%))&lt;100000,0,O8/(1+IF(O8&lt;100000,0,1%))*1%))-(IF(O8/(1+IF(O8&lt;100000,0,1%))&lt;100000,0,O8/(1+IF(O8&lt;100000,0,1%))*1%*5%))-AU8)</f>
        <v/>
      </c>
      <c r="BL8" s="15">
        <f>IF(P8="","",P8-(IF(P8/(1+IF(P8&lt;100000,0,1%))&lt;100000,0,P8/(1+IF(P8&lt;100000,0,1%))*1%))-(IF(P8/(1+IF(P8&lt;100000,0,1%))&lt;100000,0,P8/(1+IF(P8&lt;100000,0,1%))*1%*5%))-AV8)</f>
        <v/>
      </c>
      <c r="BM8" s="15">
        <f>IF(Q8="","",Q8-(IF(Q8/(1+IF(Q8&lt;100000,0,1%))&lt;100000,0,Q8/(1+IF(Q8&lt;100000,0,1%))*1%))-(IF(Q8/(1+IF(Q8&lt;100000,0,1%))&lt;100000,0,Q8/(1+IF(Q8&lt;100000,0,1%))*1%*5%))-AW8)</f>
        <v/>
      </c>
      <c r="BN8" s="15">
        <f>IF(R8="","",R8-(IF(R8/(1+IF(R8&lt;100000,0,1%))&lt;100000,0,R8/(1+IF(R8&lt;100000,0,1%))*1%))-(IF(R8/(1+IF(R8&lt;100000,0,1%))&lt;100000,0,R8/(1+IF(R8&lt;100000,0,1%))*1%*5%))-AX8)</f>
        <v/>
      </c>
      <c r="BO8" s="15">
        <f>IF(S8="","",S8-(IF(S8/(1+IF(S8&lt;100000,0,1%))&lt;100000,0,S8/(1+IF(S8&lt;100000,0,1%))*1%))-(IF(S8/(1+IF(S8&lt;100000,0,1%))&lt;100000,0,S8/(1+IF(S8&lt;100000,0,1%))*1%*5%))-AY8)</f>
        <v/>
      </c>
      <c r="BP8" s="15">
        <f>IF(T8="","",T8-(IF(T8/(1+IF(T8&lt;100000,0,1%))&lt;100000,0,T8/(1+IF(T8&lt;100000,0,1%))*1%))-(IF(T8/(1+IF(T8&lt;100000,0,1%))&lt;100000,0,T8/(1+IF(T8&lt;100000,0,1%))*1%*5%))-AZ8)</f>
        <v/>
      </c>
      <c r="BQ8" s="15">
        <f>IF(U8="","",U8-(IF(U8/(1+IF(U8&lt;100000,0,1%))&lt;100000,0,U8/(1+IF(U8&lt;100000,0,1%))*1%))-(IF(U8/(1+IF(U8&lt;100000,0,1%))&lt;100000,0,U8/(1+IF(U8&lt;100000,0,1%))*1%*5%))-BA8)</f>
        <v/>
      </c>
      <c r="BR8" s="15">
        <f>IF(V8="","",V8-(IF(V8/(1+IF(V8&lt;100000,0,1%))&lt;100000,0,V8/(1+IF(V8&lt;100000,0,1%))*1%))-(IF(V8/(1+IF(V8&lt;100000,0,1%))&lt;100000,0,V8/(1+IF(V8&lt;100000,0,1%))*1%*5%))-BB8)</f>
        <v/>
      </c>
      <c r="BS8" s="15">
        <f>IF(W8="","",W8-(IF(W8/(1+IF(W8&lt;100000,0,1%))&lt;100000,0,W8/(1+IF(W8&lt;100000,0,1%))*1%))-(IF(W8/(1+IF(W8&lt;100000,0,1%))&lt;100000,0,W8/(1+IF(W8&lt;100000,0,1%))*1%*5%))-BC8)</f>
        <v/>
      </c>
      <c r="BT8" s="15">
        <f>IF(X8="","",X8-(IF(X8/(1+IF(X8&lt;100000,0,1%))&lt;100000,0,X8/(1+IF(X8&lt;100000,0,1%))*1%))-(IF(X8/(1+IF(X8&lt;100000,0,1%))&lt;100000,0,X8/(1+IF(X8&lt;100000,0,1%))*1%*5%))-BD8)</f>
        <v/>
      </c>
      <c r="BU8" s="15">
        <f>IF(Y8="","",Y8-(IF(Y8/(1+IF(Y8&lt;100000,0,1%))&lt;100000,0,Y8/(1+IF(Y8&lt;100000,0,1%))*1%))-(IF(Y8/(1+IF(Y8&lt;100000,0,1%))&lt;100000,0,Y8/(1+IF(Y8&lt;100000,0,1%))*1%*5%))-BE8)</f>
        <v/>
      </c>
      <c r="BV8" s="15">
        <f>IF(BF8="","",ABS(BF8-$B8))</f>
        <v/>
      </c>
      <c r="BW8" s="15">
        <f>IF(BG8="","",ABS(BG8-$B8))</f>
        <v/>
      </c>
      <c r="BX8" s="15">
        <f>IF(BH8="","",ABS(BH8-$B8))</f>
        <v/>
      </c>
      <c r="BY8" s="15">
        <f>IF(BI8="","",ABS(BI8-$B8))</f>
        <v/>
      </c>
      <c r="BZ8" s="15">
        <f>IF(BJ8="","",ABS(BJ8-$B8))</f>
        <v/>
      </c>
      <c r="CA8" s="15">
        <f>IF(BK8="","",ABS(BK8-$B8))</f>
        <v/>
      </c>
      <c r="CB8" s="15">
        <f>IF(BL8="","",ABS(BL8-$B8))</f>
        <v/>
      </c>
      <c r="CC8" s="15">
        <f>IF(BM8="","",ABS(BM8-$B8))</f>
        <v/>
      </c>
      <c r="CD8" s="15">
        <f>IF(BN8="","",ABS(BN8-$B8))</f>
        <v/>
      </c>
      <c r="CE8" s="15">
        <f>IF(BO8="","",ABS(BO8-$B8))</f>
        <v/>
      </c>
      <c r="CF8" s="15">
        <f>IF(BP8="","",ABS(BP8-$B8))</f>
        <v/>
      </c>
      <c r="CG8" s="15">
        <f>IF(BQ8="","",ABS(BQ8-$B8))</f>
        <v/>
      </c>
      <c r="CH8" s="15">
        <f>IF(BR8="","",ABS(BR8-$B8))</f>
        <v/>
      </c>
      <c r="CI8" s="15">
        <f>IF(BS8="","",ABS(BS8-$B8))</f>
        <v/>
      </c>
      <c r="CJ8" s="15">
        <f>IF(BT8="","",ABS(BT8-$B8))</f>
        <v/>
      </c>
      <c r="CK8" s="15">
        <f>IF(BU8="","",ABS(BU8-$B8))</f>
        <v/>
      </c>
      <c r="CL8" s="14">
        <f>IF(J8="","",AND(J8&gt;0,J8&lt;101000,BV8&lt;0.05,AP8=0))</f>
        <v/>
      </c>
      <c r="CM8" s="14">
        <f>IF(K8="","",AND(K8&gt;0,K8&gt;=101000,BW8&lt;0.05,AQ8=0))</f>
        <v/>
      </c>
      <c r="CN8" s="14">
        <f>IF(L8="","",AND(L8&gt;0,L8&lt;101000,BX8&lt;0.05,AR8&gt;0))</f>
        <v/>
      </c>
      <c r="CO8" s="14">
        <f>IF(M8="","",AND(M8&gt;0,M8&lt;101000,BY8&lt;0.05,AS8&gt;0))</f>
        <v/>
      </c>
      <c r="CP8" s="14">
        <f>IF(N8="","",AND(N8&gt;0,N8&lt;101000,BZ8&lt;0.05,AT8&gt;0))</f>
        <v/>
      </c>
      <c r="CQ8" s="14">
        <f>IF(O8="","",AND(O8&gt;0,O8&lt;101000,CA8&lt;0.05,AU8&gt;0))</f>
        <v/>
      </c>
      <c r="CR8" s="14">
        <f>IF(P8="","",AND(P8&gt;0,P8&lt;101000,CB8&lt;0.05,AV8&gt;0))</f>
        <v/>
      </c>
      <c r="CS8" s="14">
        <f>IF(Q8="","",AND(Q8&gt;0,Q8&lt;101000,CC8&lt;0.05,AW8&gt;0))</f>
        <v/>
      </c>
      <c r="CT8" s="14">
        <f>IF(R8="","",AND(R8&gt;0,R8&lt;101000,CD8&lt;0.05,AX8&gt;0))</f>
        <v/>
      </c>
      <c r="CU8" s="14">
        <f>IF(S8="","",AND(S8&gt;0,S8&gt;=101000,CE8&lt;0.05,AY8&gt;0))</f>
        <v/>
      </c>
      <c r="CV8" s="14">
        <f>IF(T8="","",AND(T8&gt;0,T8&gt;=101000,CF8&lt;0.05,AZ8&gt;0))</f>
        <v/>
      </c>
      <c r="CW8" s="14">
        <f>IF(U8="","",AND(U8&gt;0,U8&gt;=101000,CG8&lt;0.05,BA8&gt;0))</f>
        <v/>
      </c>
      <c r="CX8" s="14">
        <f>IF(V8="","",AND(V8&gt;0,V8&gt;=101000,CH8&lt;0.05,BB8&gt;0))</f>
        <v/>
      </c>
      <c r="CY8" s="14">
        <f>IF(W8="","",AND(W8&gt;0,W8&gt;=101000,CI8&lt;0.05,BC8&gt;0))</f>
        <v/>
      </c>
      <c r="CZ8" s="14">
        <f>IF(X8="","",AND(X8&gt;0,X8&gt;=101000,CJ8&lt;0.05,BD8&gt;0))</f>
        <v/>
      </c>
      <c r="DA8" s="14">
        <f>IF(Y8="","",AND(Y8&gt;0,Y8&gt;=101000,CK8&lt;0.05,BE8&gt;0))</f>
        <v/>
      </c>
      <c r="DB8" s="14">
        <f>IFERROR(MATCH(TRUE,CL8:DA8,0),"")</f>
        <v/>
      </c>
      <c r="DC8" s="15">
        <f>IF(DB8="","",INDEX(J8:Y8,DB8))</f>
        <v/>
      </c>
      <c r="DD8" s="15">
        <f>IF(DB8="","",INDEX(BF8:BU8,DB8))</f>
        <v/>
      </c>
    </row>
    <row r="9">
      <c r="A9" s="14" t="n">
        <v>8</v>
      </c>
      <c r="B9" s="15">
        <f>'月度计算'!C12</f>
        <v/>
      </c>
      <c r="C9" s="14">
        <f>'月度计算'!D12</f>
        <v/>
      </c>
      <c r="D9" s="15">
        <f>'月度计算'!B12</f>
        <v/>
      </c>
      <c r="E9" s="14">
        <f>'月度计算'!E12</f>
        <v/>
      </c>
      <c r="F9" s="15">
        <f>'月度计算'!F12</f>
        <v/>
      </c>
      <c r="G9" s="15">
        <f>'月度计算'!AB12</f>
        <v/>
      </c>
      <c r="H9" s="15">
        <f>'月度计算'!AC12</f>
        <v/>
      </c>
      <c r="I9" s="15">
        <f>IF(C9=0,"",G9*80%-5000*E9-H9)</f>
        <v/>
      </c>
      <c r="J9" s="15">
        <f>IF(OR($C9=0,$B9="",$D9&lt;&gt;""),"",$B9/(1-(0)))</f>
        <v/>
      </c>
      <c r="K9" s="15">
        <f>IF(OR($C9=0,$B9="",$D9&lt;&gt;""),"",$B9/(1-(21/2020)))</f>
        <v/>
      </c>
      <c r="L9" s="15">
        <f>IF(OR($C9=0,$B9="",$D9&lt;&gt;""),"",($B9-0-$F9+$I9*0.03)/(1-(0)-(0.8)*0.03))</f>
        <v/>
      </c>
      <c r="M9" s="15">
        <f>IF(OR($C9=0,$B9="",$D9&lt;&gt;""),"",($B9-2520-$F9+$I9*0.1)/(1-(0)-(0.8)*0.1))</f>
        <v/>
      </c>
      <c r="N9" s="15">
        <f>IF(OR($C9=0,$B9="",$D9&lt;&gt;""),"",($B9-16920-$F9+$I9*0.2)/(1-(0)-(0.8)*0.2))</f>
        <v/>
      </c>
      <c r="O9" s="15">
        <f>IF(OR($C9=0,$B9="",$D9&lt;&gt;""),"",($B9-31920-$F9+$I9*0.25)/(1-(0)-(0.8)*0.25))</f>
        <v/>
      </c>
      <c r="P9" s="15">
        <f>IF(OR($C9=0,$B9="",$D9&lt;&gt;""),"",($B9-52920-$F9+$I9*0.3)/(1-(0)-(0.8)*0.3))</f>
        <v/>
      </c>
      <c r="Q9" s="15">
        <f>IF(OR($C9=0,$B9="",$D9&lt;&gt;""),"",($B9-85920-$F9+$I9*0.35)/(1-(0)-(0.8)*0.35))</f>
        <v/>
      </c>
      <c r="R9" s="15">
        <f>IF(OR($C9=0,$B9="",$D9&lt;&gt;""),"",($B9-181920-$F9+$I9*0.45)/(1-(0)-(0.8)*0.45))</f>
        <v/>
      </c>
      <c r="S9" s="15">
        <f>IF(OR($C9=0,$B9="",$D9&lt;&gt;""),"",($B9-0-$F9+$I9*0.03)/(1-(21/2020)-(1599/2020)*0.03))</f>
        <v/>
      </c>
      <c r="T9" s="15">
        <f>IF(OR($C9=0,$B9="",$D9&lt;&gt;""),"",($B9-2520-$F9+$I9*0.1)/(1-(21/2020)-(1599/2020)*0.1))</f>
        <v/>
      </c>
      <c r="U9" s="15">
        <f>IF(OR($C9=0,$B9="",$D9&lt;&gt;""),"",($B9-16920-$F9+$I9*0.2)/(1-(21/2020)-(1599/2020)*0.2))</f>
        <v/>
      </c>
      <c r="V9" s="15">
        <f>IF(OR($C9=0,$B9="",$D9&lt;&gt;""),"",($B9-31920-$F9+$I9*0.25)/(1-(21/2020)-(1599/2020)*0.25))</f>
        <v/>
      </c>
      <c r="W9" s="15">
        <f>IF(OR($C9=0,$B9="",$D9&lt;&gt;""),"",($B9-52920-$F9+$I9*0.3)/(1-(21/2020)-(1599/2020)*0.3))</f>
        <v/>
      </c>
      <c r="X9" s="15">
        <f>IF(OR($C9=0,$B9="",$D9&lt;&gt;""),"",($B9-85920-$F9+$I9*0.35)/(1-(21/2020)-(1599/2020)*0.35))</f>
        <v/>
      </c>
      <c r="Y9" s="15">
        <f>IF(OR($C9=0,$B9="",$D9&lt;&gt;""),"",($B9-181920-$F9+$I9*0.45)/(1-(21/2020)-(1599/2020)*0.45))</f>
        <v/>
      </c>
      <c r="Z9" s="15">
        <f>IF(J9="","",($G9+J9-(IF(J9/(1+IF(J9&lt;100000,0,1%))&lt;100000,0,J9/(1+IF(J9&lt;100000,0,1%))*1%)))*80%-5000*$E9-($H9+(IF(J9/(1+IF(J9&lt;100000,0,1%))&lt;100000,0,J9/(1+IF(J9&lt;100000,0,1%))*1%*5%))))</f>
        <v/>
      </c>
      <c r="AA9" s="15">
        <f>IF(K9="","",($G9+K9-(IF(K9/(1+IF(K9&lt;100000,0,1%))&lt;100000,0,K9/(1+IF(K9&lt;100000,0,1%))*1%)))*80%-5000*$E9-($H9+(IF(K9/(1+IF(K9&lt;100000,0,1%))&lt;100000,0,K9/(1+IF(K9&lt;100000,0,1%))*1%*5%))))</f>
        <v/>
      </c>
      <c r="AB9" s="15">
        <f>IF(L9="","",($G9+L9-(IF(L9/(1+IF(L9&lt;100000,0,1%))&lt;100000,0,L9/(1+IF(L9&lt;100000,0,1%))*1%)))*80%-5000*$E9-($H9+(IF(L9/(1+IF(L9&lt;100000,0,1%))&lt;100000,0,L9/(1+IF(L9&lt;100000,0,1%))*1%*5%))))</f>
        <v/>
      </c>
      <c r="AC9" s="15">
        <f>IF(M9="","",($G9+M9-(IF(M9/(1+IF(M9&lt;100000,0,1%))&lt;100000,0,M9/(1+IF(M9&lt;100000,0,1%))*1%)))*80%-5000*$E9-($H9+(IF(M9/(1+IF(M9&lt;100000,0,1%))&lt;100000,0,M9/(1+IF(M9&lt;100000,0,1%))*1%*5%))))</f>
        <v/>
      </c>
      <c r="AD9" s="15">
        <f>IF(N9="","",($G9+N9-(IF(N9/(1+IF(N9&lt;100000,0,1%))&lt;100000,0,N9/(1+IF(N9&lt;100000,0,1%))*1%)))*80%-5000*$E9-($H9+(IF(N9/(1+IF(N9&lt;100000,0,1%))&lt;100000,0,N9/(1+IF(N9&lt;100000,0,1%))*1%*5%))))</f>
        <v/>
      </c>
      <c r="AE9" s="15">
        <f>IF(O9="","",($G9+O9-(IF(O9/(1+IF(O9&lt;100000,0,1%))&lt;100000,0,O9/(1+IF(O9&lt;100000,0,1%))*1%)))*80%-5000*$E9-($H9+(IF(O9/(1+IF(O9&lt;100000,0,1%))&lt;100000,0,O9/(1+IF(O9&lt;100000,0,1%))*1%*5%))))</f>
        <v/>
      </c>
      <c r="AF9" s="15">
        <f>IF(P9="","",($G9+P9-(IF(P9/(1+IF(P9&lt;100000,0,1%))&lt;100000,0,P9/(1+IF(P9&lt;100000,0,1%))*1%)))*80%-5000*$E9-($H9+(IF(P9/(1+IF(P9&lt;100000,0,1%))&lt;100000,0,P9/(1+IF(P9&lt;100000,0,1%))*1%*5%))))</f>
        <v/>
      </c>
      <c r="AG9" s="15">
        <f>IF(Q9="","",($G9+Q9-(IF(Q9/(1+IF(Q9&lt;100000,0,1%))&lt;100000,0,Q9/(1+IF(Q9&lt;100000,0,1%))*1%)))*80%-5000*$E9-($H9+(IF(Q9/(1+IF(Q9&lt;100000,0,1%))&lt;100000,0,Q9/(1+IF(Q9&lt;100000,0,1%))*1%*5%))))</f>
        <v/>
      </c>
      <c r="AH9" s="15">
        <f>IF(R9="","",($G9+R9-(IF(R9/(1+IF(R9&lt;100000,0,1%))&lt;100000,0,R9/(1+IF(R9&lt;100000,0,1%))*1%)))*80%-5000*$E9-($H9+(IF(R9/(1+IF(R9&lt;100000,0,1%))&lt;100000,0,R9/(1+IF(R9&lt;100000,0,1%))*1%*5%))))</f>
        <v/>
      </c>
      <c r="AI9" s="15">
        <f>IF(S9="","",($G9+S9-(IF(S9/(1+IF(S9&lt;100000,0,1%))&lt;100000,0,S9/(1+IF(S9&lt;100000,0,1%))*1%)))*80%-5000*$E9-($H9+(IF(S9/(1+IF(S9&lt;100000,0,1%))&lt;100000,0,S9/(1+IF(S9&lt;100000,0,1%))*1%*5%))))</f>
        <v/>
      </c>
      <c r="AJ9" s="15">
        <f>IF(T9="","",($G9+T9-(IF(T9/(1+IF(T9&lt;100000,0,1%))&lt;100000,0,T9/(1+IF(T9&lt;100000,0,1%))*1%)))*80%-5000*$E9-($H9+(IF(T9/(1+IF(T9&lt;100000,0,1%))&lt;100000,0,T9/(1+IF(T9&lt;100000,0,1%))*1%*5%))))</f>
        <v/>
      </c>
      <c r="AK9" s="15">
        <f>IF(U9="","",($G9+U9-(IF(U9/(1+IF(U9&lt;100000,0,1%))&lt;100000,0,U9/(1+IF(U9&lt;100000,0,1%))*1%)))*80%-5000*$E9-($H9+(IF(U9/(1+IF(U9&lt;100000,0,1%))&lt;100000,0,U9/(1+IF(U9&lt;100000,0,1%))*1%*5%))))</f>
        <v/>
      </c>
      <c r="AL9" s="15">
        <f>IF(V9="","",($G9+V9-(IF(V9/(1+IF(V9&lt;100000,0,1%))&lt;100000,0,V9/(1+IF(V9&lt;100000,0,1%))*1%)))*80%-5000*$E9-($H9+(IF(V9/(1+IF(V9&lt;100000,0,1%))&lt;100000,0,V9/(1+IF(V9&lt;100000,0,1%))*1%*5%))))</f>
        <v/>
      </c>
      <c r="AM9" s="15">
        <f>IF(W9="","",($G9+W9-(IF(W9/(1+IF(W9&lt;100000,0,1%))&lt;100000,0,W9/(1+IF(W9&lt;100000,0,1%))*1%)))*80%-5000*$E9-($H9+(IF(W9/(1+IF(W9&lt;100000,0,1%))&lt;100000,0,W9/(1+IF(W9&lt;100000,0,1%))*1%*5%))))</f>
        <v/>
      </c>
      <c r="AN9" s="15">
        <f>IF(X9="","",($G9+X9-(IF(X9/(1+IF(X9&lt;100000,0,1%))&lt;100000,0,X9/(1+IF(X9&lt;100000,0,1%))*1%)))*80%-5000*$E9-($H9+(IF(X9/(1+IF(X9&lt;100000,0,1%))&lt;100000,0,X9/(1+IF(X9&lt;100000,0,1%))*1%*5%))))</f>
        <v/>
      </c>
      <c r="AO9" s="15">
        <f>IF(Y9="","",($G9+Y9-(IF(Y9/(1+IF(Y9&lt;100000,0,1%))&lt;100000,0,Y9/(1+IF(Y9&lt;100000,0,1%))*1%)))*80%-5000*$E9-($H9+(IF(Y9/(1+IF(Y9&lt;100000,0,1%))&lt;100000,0,Y9/(1+IF(Y9&lt;100000,0,1%))*1%*5%))))</f>
        <v/>
      </c>
      <c r="AP9" s="15">
        <f>IF(Z9="","",MAX(0,Z9*IF(Z9&lt;=36000,3%,IF(Z9&lt;=144000,10%,IF(Z9&lt;=300000,20%,IF(Z9&lt;=420000,25%,IF(Z9&lt;=660000,30%,IF(Z9&lt;=960000,35%,45%))))))-IF(Z9&lt;=36000,0,IF(Z9&lt;=144000,2520,IF(Z9&lt;=300000,16920,IF(Z9&lt;=420000,31920,IF(Z9&lt;=660000,52920,IF(Z9&lt;=960000,85920,181920))))))-$F9))</f>
        <v/>
      </c>
      <c r="AQ9" s="15">
        <f>IF(AA9="","",MAX(0,AA9*IF(AA9&lt;=36000,3%,IF(AA9&lt;=144000,10%,IF(AA9&lt;=300000,20%,IF(AA9&lt;=420000,25%,IF(AA9&lt;=660000,30%,IF(AA9&lt;=960000,35%,45%))))))-IF(AA9&lt;=36000,0,IF(AA9&lt;=144000,2520,IF(AA9&lt;=300000,16920,IF(AA9&lt;=420000,31920,IF(AA9&lt;=660000,52920,IF(AA9&lt;=960000,85920,181920))))))-$F9))</f>
        <v/>
      </c>
      <c r="AR9" s="15">
        <f>IF(AB9="","",MAX(0,AB9*IF(AB9&lt;=36000,3%,IF(AB9&lt;=144000,10%,IF(AB9&lt;=300000,20%,IF(AB9&lt;=420000,25%,IF(AB9&lt;=660000,30%,IF(AB9&lt;=960000,35%,45%))))))-IF(AB9&lt;=36000,0,IF(AB9&lt;=144000,2520,IF(AB9&lt;=300000,16920,IF(AB9&lt;=420000,31920,IF(AB9&lt;=660000,52920,IF(AB9&lt;=960000,85920,181920))))))-$F9))</f>
        <v/>
      </c>
      <c r="AS9" s="15">
        <f>IF(AC9="","",MAX(0,AC9*IF(AC9&lt;=36000,3%,IF(AC9&lt;=144000,10%,IF(AC9&lt;=300000,20%,IF(AC9&lt;=420000,25%,IF(AC9&lt;=660000,30%,IF(AC9&lt;=960000,35%,45%))))))-IF(AC9&lt;=36000,0,IF(AC9&lt;=144000,2520,IF(AC9&lt;=300000,16920,IF(AC9&lt;=420000,31920,IF(AC9&lt;=660000,52920,IF(AC9&lt;=960000,85920,181920))))))-$F9))</f>
        <v/>
      </c>
      <c r="AT9" s="15">
        <f>IF(AD9="","",MAX(0,AD9*IF(AD9&lt;=36000,3%,IF(AD9&lt;=144000,10%,IF(AD9&lt;=300000,20%,IF(AD9&lt;=420000,25%,IF(AD9&lt;=660000,30%,IF(AD9&lt;=960000,35%,45%))))))-IF(AD9&lt;=36000,0,IF(AD9&lt;=144000,2520,IF(AD9&lt;=300000,16920,IF(AD9&lt;=420000,31920,IF(AD9&lt;=660000,52920,IF(AD9&lt;=960000,85920,181920))))))-$F9))</f>
        <v/>
      </c>
      <c r="AU9" s="15">
        <f>IF(AE9="","",MAX(0,AE9*IF(AE9&lt;=36000,3%,IF(AE9&lt;=144000,10%,IF(AE9&lt;=300000,20%,IF(AE9&lt;=420000,25%,IF(AE9&lt;=660000,30%,IF(AE9&lt;=960000,35%,45%))))))-IF(AE9&lt;=36000,0,IF(AE9&lt;=144000,2520,IF(AE9&lt;=300000,16920,IF(AE9&lt;=420000,31920,IF(AE9&lt;=660000,52920,IF(AE9&lt;=960000,85920,181920))))))-$F9))</f>
        <v/>
      </c>
      <c r="AV9" s="15">
        <f>IF(AF9="","",MAX(0,AF9*IF(AF9&lt;=36000,3%,IF(AF9&lt;=144000,10%,IF(AF9&lt;=300000,20%,IF(AF9&lt;=420000,25%,IF(AF9&lt;=660000,30%,IF(AF9&lt;=960000,35%,45%))))))-IF(AF9&lt;=36000,0,IF(AF9&lt;=144000,2520,IF(AF9&lt;=300000,16920,IF(AF9&lt;=420000,31920,IF(AF9&lt;=660000,52920,IF(AF9&lt;=960000,85920,181920))))))-$F9))</f>
        <v/>
      </c>
      <c r="AW9" s="15">
        <f>IF(AG9="","",MAX(0,AG9*IF(AG9&lt;=36000,3%,IF(AG9&lt;=144000,10%,IF(AG9&lt;=300000,20%,IF(AG9&lt;=420000,25%,IF(AG9&lt;=660000,30%,IF(AG9&lt;=960000,35%,45%))))))-IF(AG9&lt;=36000,0,IF(AG9&lt;=144000,2520,IF(AG9&lt;=300000,16920,IF(AG9&lt;=420000,31920,IF(AG9&lt;=660000,52920,IF(AG9&lt;=960000,85920,181920))))))-$F9))</f>
        <v/>
      </c>
      <c r="AX9" s="15">
        <f>IF(AH9="","",MAX(0,AH9*IF(AH9&lt;=36000,3%,IF(AH9&lt;=144000,10%,IF(AH9&lt;=300000,20%,IF(AH9&lt;=420000,25%,IF(AH9&lt;=660000,30%,IF(AH9&lt;=960000,35%,45%))))))-IF(AH9&lt;=36000,0,IF(AH9&lt;=144000,2520,IF(AH9&lt;=300000,16920,IF(AH9&lt;=420000,31920,IF(AH9&lt;=660000,52920,IF(AH9&lt;=960000,85920,181920))))))-$F9))</f>
        <v/>
      </c>
      <c r="AY9" s="15">
        <f>IF(AI9="","",MAX(0,AI9*IF(AI9&lt;=36000,3%,IF(AI9&lt;=144000,10%,IF(AI9&lt;=300000,20%,IF(AI9&lt;=420000,25%,IF(AI9&lt;=660000,30%,IF(AI9&lt;=960000,35%,45%))))))-IF(AI9&lt;=36000,0,IF(AI9&lt;=144000,2520,IF(AI9&lt;=300000,16920,IF(AI9&lt;=420000,31920,IF(AI9&lt;=660000,52920,IF(AI9&lt;=960000,85920,181920))))))-$F9))</f>
        <v/>
      </c>
      <c r="AZ9" s="15">
        <f>IF(AJ9="","",MAX(0,AJ9*IF(AJ9&lt;=36000,3%,IF(AJ9&lt;=144000,10%,IF(AJ9&lt;=300000,20%,IF(AJ9&lt;=420000,25%,IF(AJ9&lt;=660000,30%,IF(AJ9&lt;=960000,35%,45%))))))-IF(AJ9&lt;=36000,0,IF(AJ9&lt;=144000,2520,IF(AJ9&lt;=300000,16920,IF(AJ9&lt;=420000,31920,IF(AJ9&lt;=660000,52920,IF(AJ9&lt;=960000,85920,181920))))))-$F9))</f>
        <v/>
      </c>
      <c r="BA9" s="15">
        <f>IF(AK9="","",MAX(0,AK9*IF(AK9&lt;=36000,3%,IF(AK9&lt;=144000,10%,IF(AK9&lt;=300000,20%,IF(AK9&lt;=420000,25%,IF(AK9&lt;=660000,30%,IF(AK9&lt;=960000,35%,45%))))))-IF(AK9&lt;=36000,0,IF(AK9&lt;=144000,2520,IF(AK9&lt;=300000,16920,IF(AK9&lt;=420000,31920,IF(AK9&lt;=660000,52920,IF(AK9&lt;=960000,85920,181920))))))-$F9))</f>
        <v/>
      </c>
      <c r="BB9" s="15">
        <f>IF(AL9="","",MAX(0,AL9*IF(AL9&lt;=36000,3%,IF(AL9&lt;=144000,10%,IF(AL9&lt;=300000,20%,IF(AL9&lt;=420000,25%,IF(AL9&lt;=660000,30%,IF(AL9&lt;=960000,35%,45%))))))-IF(AL9&lt;=36000,0,IF(AL9&lt;=144000,2520,IF(AL9&lt;=300000,16920,IF(AL9&lt;=420000,31920,IF(AL9&lt;=660000,52920,IF(AL9&lt;=960000,85920,181920))))))-$F9))</f>
        <v/>
      </c>
      <c r="BC9" s="15">
        <f>IF(AM9="","",MAX(0,AM9*IF(AM9&lt;=36000,3%,IF(AM9&lt;=144000,10%,IF(AM9&lt;=300000,20%,IF(AM9&lt;=420000,25%,IF(AM9&lt;=660000,30%,IF(AM9&lt;=960000,35%,45%))))))-IF(AM9&lt;=36000,0,IF(AM9&lt;=144000,2520,IF(AM9&lt;=300000,16920,IF(AM9&lt;=420000,31920,IF(AM9&lt;=660000,52920,IF(AM9&lt;=960000,85920,181920))))))-$F9))</f>
        <v/>
      </c>
      <c r="BD9" s="15">
        <f>IF(AN9="","",MAX(0,AN9*IF(AN9&lt;=36000,3%,IF(AN9&lt;=144000,10%,IF(AN9&lt;=300000,20%,IF(AN9&lt;=420000,25%,IF(AN9&lt;=660000,30%,IF(AN9&lt;=960000,35%,45%))))))-IF(AN9&lt;=36000,0,IF(AN9&lt;=144000,2520,IF(AN9&lt;=300000,16920,IF(AN9&lt;=420000,31920,IF(AN9&lt;=660000,52920,IF(AN9&lt;=960000,85920,181920))))))-$F9))</f>
        <v/>
      </c>
      <c r="BE9" s="15">
        <f>IF(AO9="","",MAX(0,AO9*IF(AO9&lt;=36000,3%,IF(AO9&lt;=144000,10%,IF(AO9&lt;=300000,20%,IF(AO9&lt;=420000,25%,IF(AO9&lt;=660000,30%,IF(AO9&lt;=960000,35%,45%))))))-IF(AO9&lt;=36000,0,IF(AO9&lt;=144000,2520,IF(AO9&lt;=300000,16920,IF(AO9&lt;=420000,31920,IF(AO9&lt;=660000,52920,IF(AO9&lt;=960000,85920,181920))))))-$F9))</f>
        <v/>
      </c>
      <c r="BF9" s="15">
        <f>IF(J9="","",J9-(IF(J9/(1+IF(J9&lt;100000,0,1%))&lt;100000,0,J9/(1+IF(J9&lt;100000,0,1%))*1%))-(IF(J9/(1+IF(J9&lt;100000,0,1%))&lt;100000,0,J9/(1+IF(J9&lt;100000,0,1%))*1%*5%))-AP9)</f>
        <v/>
      </c>
      <c r="BG9" s="15">
        <f>IF(K9="","",K9-(IF(K9/(1+IF(K9&lt;100000,0,1%))&lt;100000,0,K9/(1+IF(K9&lt;100000,0,1%))*1%))-(IF(K9/(1+IF(K9&lt;100000,0,1%))&lt;100000,0,K9/(1+IF(K9&lt;100000,0,1%))*1%*5%))-AQ9)</f>
        <v/>
      </c>
      <c r="BH9" s="15">
        <f>IF(L9="","",L9-(IF(L9/(1+IF(L9&lt;100000,0,1%))&lt;100000,0,L9/(1+IF(L9&lt;100000,0,1%))*1%))-(IF(L9/(1+IF(L9&lt;100000,0,1%))&lt;100000,0,L9/(1+IF(L9&lt;100000,0,1%))*1%*5%))-AR9)</f>
        <v/>
      </c>
      <c r="BI9" s="15">
        <f>IF(M9="","",M9-(IF(M9/(1+IF(M9&lt;100000,0,1%))&lt;100000,0,M9/(1+IF(M9&lt;100000,0,1%))*1%))-(IF(M9/(1+IF(M9&lt;100000,0,1%))&lt;100000,0,M9/(1+IF(M9&lt;100000,0,1%))*1%*5%))-AS9)</f>
        <v/>
      </c>
      <c r="BJ9" s="15">
        <f>IF(N9="","",N9-(IF(N9/(1+IF(N9&lt;100000,0,1%))&lt;100000,0,N9/(1+IF(N9&lt;100000,0,1%))*1%))-(IF(N9/(1+IF(N9&lt;100000,0,1%))&lt;100000,0,N9/(1+IF(N9&lt;100000,0,1%))*1%*5%))-AT9)</f>
        <v/>
      </c>
      <c r="BK9" s="15">
        <f>IF(O9="","",O9-(IF(O9/(1+IF(O9&lt;100000,0,1%))&lt;100000,0,O9/(1+IF(O9&lt;100000,0,1%))*1%))-(IF(O9/(1+IF(O9&lt;100000,0,1%))&lt;100000,0,O9/(1+IF(O9&lt;100000,0,1%))*1%*5%))-AU9)</f>
        <v/>
      </c>
      <c r="BL9" s="15">
        <f>IF(P9="","",P9-(IF(P9/(1+IF(P9&lt;100000,0,1%))&lt;100000,0,P9/(1+IF(P9&lt;100000,0,1%))*1%))-(IF(P9/(1+IF(P9&lt;100000,0,1%))&lt;100000,0,P9/(1+IF(P9&lt;100000,0,1%))*1%*5%))-AV9)</f>
        <v/>
      </c>
      <c r="BM9" s="15">
        <f>IF(Q9="","",Q9-(IF(Q9/(1+IF(Q9&lt;100000,0,1%))&lt;100000,0,Q9/(1+IF(Q9&lt;100000,0,1%))*1%))-(IF(Q9/(1+IF(Q9&lt;100000,0,1%))&lt;100000,0,Q9/(1+IF(Q9&lt;100000,0,1%))*1%*5%))-AW9)</f>
        <v/>
      </c>
      <c r="BN9" s="15">
        <f>IF(R9="","",R9-(IF(R9/(1+IF(R9&lt;100000,0,1%))&lt;100000,0,R9/(1+IF(R9&lt;100000,0,1%))*1%))-(IF(R9/(1+IF(R9&lt;100000,0,1%))&lt;100000,0,R9/(1+IF(R9&lt;100000,0,1%))*1%*5%))-AX9)</f>
        <v/>
      </c>
      <c r="BO9" s="15">
        <f>IF(S9="","",S9-(IF(S9/(1+IF(S9&lt;100000,0,1%))&lt;100000,0,S9/(1+IF(S9&lt;100000,0,1%))*1%))-(IF(S9/(1+IF(S9&lt;100000,0,1%))&lt;100000,0,S9/(1+IF(S9&lt;100000,0,1%))*1%*5%))-AY9)</f>
        <v/>
      </c>
      <c r="BP9" s="15">
        <f>IF(T9="","",T9-(IF(T9/(1+IF(T9&lt;100000,0,1%))&lt;100000,0,T9/(1+IF(T9&lt;100000,0,1%))*1%))-(IF(T9/(1+IF(T9&lt;100000,0,1%))&lt;100000,0,T9/(1+IF(T9&lt;100000,0,1%))*1%*5%))-AZ9)</f>
        <v/>
      </c>
      <c r="BQ9" s="15">
        <f>IF(U9="","",U9-(IF(U9/(1+IF(U9&lt;100000,0,1%))&lt;100000,0,U9/(1+IF(U9&lt;100000,0,1%))*1%))-(IF(U9/(1+IF(U9&lt;100000,0,1%))&lt;100000,0,U9/(1+IF(U9&lt;100000,0,1%))*1%*5%))-BA9)</f>
        <v/>
      </c>
      <c r="BR9" s="15">
        <f>IF(V9="","",V9-(IF(V9/(1+IF(V9&lt;100000,0,1%))&lt;100000,0,V9/(1+IF(V9&lt;100000,0,1%))*1%))-(IF(V9/(1+IF(V9&lt;100000,0,1%))&lt;100000,0,V9/(1+IF(V9&lt;100000,0,1%))*1%*5%))-BB9)</f>
        <v/>
      </c>
      <c r="BS9" s="15">
        <f>IF(W9="","",W9-(IF(W9/(1+IF(W9&lt;100000,0,1%))&lt;100000,0,W9/(1+IF(W9&lt;100000,0,1%))*1%))-(IF(W9/(1+IF(W9&lt;100000,0,1%))&lt;100000,0,W9/(1+IF(W9&lt;100000,0,1%))*1%*5%))-BC9)</f>
        <v/>
      </c>
      <c r="BT9" s="15">
        <f>IF(X9="","",X9-(IF(X9/(1+IF(X9&lt;100000,0,1%))&lt;100000,0,X9/(1+IF(X9&lt;100000,0,1%))*1%))-(IF(X9/(1+IF(X9&lt;100000,0,1%))&lt;100000,0,X9/(1+IF(X9&lt;100000,0,1%))*1%*5%))-BD9)</f>
        <v/>
      </c>
      <c r="BU9" s="15">
        <f>IF(Y9="","",Y9-(IF(Y9/(1+IF(Y9&lt;100000,0,1%))&lt;100000,0,Y9/(1+IF(Y9&lt;100000,0,1%))*1%))-(IF(Y9/(1+IF(Y9&lt;100000,0,1%))&lt;100000,0,Y9/(1+IF(Y9&lt;100000,0,1%))*1%*5%))-BE9)</f>
        <v/>
      </c>
      <c r="BV9" s="15">
        <f>IF(BF9="","",ABS(BF9-$B9))</f>
        <v/>
      </c>
      <c r="BW9" s="15">
        <f>IF(BG9="","",ABS(BG9-$B9))</f>
        <v/>
      </c>
      <c r="BX9" s="15">
        <f>IF(BH9="","",ABS(BH9-$B9))</f>
        <v/>
      </c>
      <c r="BY9" s="15">
        <f>IF(BI9="","",ABS(BI9-$B9))</f>
        <v/>
      </c>
      <c r="BZ9" s="15">
        <f>IF(BJ9="","",ABS(BJ9-$B9))</f>
        <v/>
      </c>
      <c r="CA9" s="15">
        <f>IF(BK9="","",ABS(BK9-$B9))</f>
        <v/>
      </c>
      <c r="CB9" s="15">
        <f>IF(BL9="","",ABS(BL9-$B9))</f>
        <v/>
      </c>
      <c r="CC9" s="15">
        <f>IF(BM9="","",ABS(BM9-$B9))</f>
        <v/>
      </c>
      <c r="CD9" s="15">
        <f>IF(BN9="","",ABS(BN9-$B9))</f>
        <v/>
      </c>
      <c r="CE9" s="15">
        <f>IF(BO9="","",ABS(BO9-$B9))</f>
        <v/>
      </c>
      <c r="CF9" s="15">
        <f>IF(BP9="","",ABS(BP9-$B9))</f>
        <v/>
      </c>
      <c r="CG9" s="15">
        <f>IF(BQ9="","",ABS(BQ9-$B9))</f>
        <v/>
      </c>
      <c r="CH9" s="15">
        <f>IF(BR9="","",ABS(BR9-$B9))</f>
        <v/>
      </c>
      <c r="CI9" s="15">
        <f>IF(BS9="","",ABS(BS9-$B9))</f>
        <v/>
      </c>
      <c r="CJ9" s="15">
        <f>IF(BT9="","",ABS(BT9-$B9))</f>
        <v/>
      </c>
      <c r="CK9" s="15">
        <f>IF(BU9="","",ABS(BU9-$B9))</f>
        <v/>
      </c>
      <c r="CL9" s="14">
        <f>IF(J9="","",AND(J9&gt;0,J9&lt;101000,BV9&lt;0.05,AP9=0))</f>
        <v/>
      </c>
      <c r="CM9" s="14">
        <f>IF(K9="","",AND(K9&gt;0,K9&gt;=101000,BW9&lt;0.05,AQ9=0))</f>
        <v/>
      </c>
      <c r="CN9" s="14">
        <f>IF(L9="","",AND(L9&gt;0,L9&lt;101000,BX9&lt;0.05,AR9&gt;0))</f>
        <v/>
      </c>
      <c r="CO9" s="14">
        <f>IF(M9="","",AND(M9&gt;0,M9&lt;101000,BY9&lt;0.05,AS9&gt;0))</f>
        <v/>
      </c>
      <c r="CP9" s="14">
        <f>IF(N9="","",AND(N9&gt;0,N9&lt;101000,BZ9&lt;0.05,AT9&gt;0))</f>
        <v/>
      </c>
      <c r="CQ9" s="14">
        <f>IF(O9="","",AND(O9&gt;0,O9&lt;101000,CA9&lt;0.05,AU9&gt;0))</f>
        <v/>
      </c>
      <c r="CR9" s="14">
        <f>IF(P9="","",AND(P9&gt;0,P9&lt;101000,CB9&lt;0.05,AV9&gt;0))</f>
        <v/>
      </c>
      <c r="CS9" s="14">
        <f>IF(Q9="","",AND(Q9&gt;0,Q9&lt;101000,CC9&lt;0.05,AW9&gt;0))</f>
        <v/>
      </c>
      <c r="CT9" s="14">
        <f>IF(R9="","",AND(R9&gt;0,R9&lt;101000,CD9&lt;0.05,AX9&gt;0))</f>
        <v/>
      </c>
      <c r="CU9" s="14">
        <f>IF(S9="","",AND(S9&gt;0,S9&gt;=101000,CE9&lt;0.05,AY9&gt;0))</f>
        <v/>
      </c>
      <c r="CV9" s="14">
        <f>IF(T9="","",AND(T9&gt;0,T9&gt;=101000,CF9&lt;0.05,AZ9&gt;0))</f>
        <v/>
      </c>
      <c r="CW9" s="14">
        <f>IF(U9="","",AND(U9&gt;0,U9&gt;=101000,CG9&lt;0.05,BA9&gt;0))</f>
        <v/>
      </c>
      <c r="CX9" s="14">
        <f>IF(V9="","",AND(V9&gt;0,V9&gt;=101000,CH9&lt;0.05,BB9&gt;0))</f>
        <v/>
      </c>
      <c r="CY9" s="14">
        <f>IF(W9="","",AND(W9&gt;0,W9&gt;=101000,CI9&lt;0.05,BC9&gt;0))</f>
        <v/>
      </c>
      <c r="CZ9" s="14">
        <f>IF(X9="","",AND(X9&gt;0,X9&gt;=101000,CJ9&lt;0.05,BD9&gt;0))</f>
        <v/>
      </c>
      <c r="DA9" s="14">
        <f>IF(Y9="","",AND(Y9&gt;0,Y9&gt;=101000,CK9&lt;0.05,BE9&gt;0))</f>
        <v/>
      </c>
      <c r="DB9" s="14">
        <f>IFERROR(MATCH(TRUE,CL9:DA9,0),"")</f>
        <v/>
      </c>
      <c r="DC9" s="15">
        <f>IF(DB9="","",INDEX(J9:Y9,DB9))</f>
        <v/>
      </c>
      <c r="DD9" s="15">
        <f>IF(DB9="","",INDEX(BF9:BU9,DB9))</f>
        <v/>
      </c>
    </row>
    <row r="10">
      <c r="A10" s="14" t="n">
        <v>9</v>
      </c>
      <c r="B10" s="15">
        <f>'月度计算'!C13</f>
        <v/>
      </c>
      <c r="C10" s="14">
        <f>'月度计算'!D13</f>
        <v/>
      </c>
      <c r="D10" s="15">
        <f>'月度计算'!B13</f>
        <v/>
      </c>
      <c r="E10" s="14">
        <f>'月度计算'!E13</f>
        <v/>
      </c>
      <c r="F10" s="15">
        <f>'月度计算'!F13</f>
        <v/>
      </c>
      <c r="G10" s="15">
        <f>'月度计算'!AB13</f>
        <v/>
      </c>
      <c r="H10" s="15">
        <f>'月度计算'!AC13</f>
        <v/>
      </c>
      <c r="I10" s="15">
        <f>IF(C10=0,"",G10*80%-5000*E10-H10)</f>
        <v/>
      </c>
      <c r="J10" s="15">
        <f>IF(OR($C10=0,$B10="",$D10&lt;&gt;""),"",$B10/(1-(0)))</f>
        <v/>
      </c>
      <c r="K10" s="15">
        <f>IF(OR($C10=0,$B10="",$D10&lt;&gt;""),"",$B10/(1-(21/2020)))</f>
        <v/>
      </c>
      <c r="L10" s="15">
        <f>IF(OR($C10=0,$B10="",$D10&lt;&gt;""),"",($B10-0-$F10+$I10*0.03)/(1-(0)-(0.8)*0.03))</f>
        <v/>
      </c>
      <c r="M10" s="15">
        <f>IF(OR($C10=0,$B10="",$D10&lt;&gt;""),"",($B10-2520-$F10+$I10*0.1)/(1-(0)-(0.8)*0.1))</f>
        <v/>
      </c>
      <c r="N10" s="15">
        <f>IF(OR($C10=0,$B10="",$D10&lt;&gt;""),"",($B10-16920-$F10+$I10*0.2)/(1-(0)-(0.8)*0.2))</f>
        <v/>
      </c>
      <c r="O10" s="15">
        <f>IF(OR($C10=0,$B10="",$D10&lt;&gt;""),"",($B10-31920-$F10+$I10*0.25)/(1-(0)-(0.8)*0.25))</f>
        <v/>
      </c>
      <c r="P10" s="15">
        <f>IF(OR($C10=0,$B10="",$D10&lt;&gt;""),"",($B10-52920-$F10+$I10*0.3)/(1-(0)-(0.8)*0.3))</f>
        <v/>
      </c>
      <c r="Q10" s="15">
        <f>IF(OR($C10=0,$B10="",$D10&lt;&gt;""),"",($B10-85920-$F10+$I10*0.35)/(1-(0)-(0.8)*0.35))</f>
        <v/>
      </c>
      <c r="R10" s="15">
        <f>IF(OR($C10=0,$B10="",$D10&lt;&gt;""),"",($B10-181920-$F10+$I10*0.45)/(1-(0)-(0.8)*0.45))</f>
        <v/>
      </c>
      <c r="S10" s="15">
        <f>IF(OR($C10=0,$B10="",$D10&lt;&gt;""),"",($B10-0-$F10+$I10*0.03)/(1-(21/2020)-(1599/2020)*0.03))</f>
        <v/>
      </c>
      <c r="T10" s="15">
        <f>IF(OR($C10=0,$B10="",$D10&lt;&gt;""),"",($B10-2520-$F10+$I10*0.1)/(1-(21/2020)-(1599/2020)*0.1))</f>
        <v/>
      </c>
      <c r="U10" s="15">
        <f>IF(OR($C10=0,$B10="",$D10&lt;&gt;""),"",($B10-16920-$F10+$I10*0.2)/(1-(21/2020)-(1599/2020)*0.2))</f>
        <v/>
      </c>
      <c r="V10" s="15">
        <f>IF(OR($C10=0,$B10="",$D10&lt;&gt;""),"",($B10-31920-$F10+$I10*0.25)/(1-(21/2020)-(1599/2020)*0.25))</f>
        <v/>
      </c>
      <c r="W10" s="15">
        <f>IF(OR($C10=0,$B10="",$D10&lt;&gt;""),"",($B10-52920-$F10+$I10*0.3)/(1-(21/2020)-(1599/2020)*0.3))</f>
        <v/>
      </c>
      <c r="X10" s="15">
        <f>IF(OR($C10=0,$B10="",$D10&lt;&gt;""),"",($B10-85920-$F10+$I10*0.35)/(1-(21/2020)-(1599/2020)*0.35))</f>
        <v/>
      </c>
      <c r="Y10" s="15">
        <f>IF(OR($C10=0,$B10="",$D10&lt;&gt;""),"",($B10-181920-$F10+$I10*0.45)/(1-(21/2020)-(1599/2020)*0.45))</f>
        <v/>
      </c>
      <c r="Z10" s="15">
        <f>IF(J10="","",($G10+J10-(IF(J10/(1+IF(J10&lt;100000,0,1%))&lt;100000,0,J10/(1+IF(J10&lt;100000,0,1%))*1%)))*80%-5000*$E10-($H10+(IF(J10/(1+IF(J10&lt;100000,0,1%))&lt;100000,0,J10/(1+IF(J10&lt;100000,0,1%))*1%*5%))))</f>
        <v/>
      </c>
      <c r="AA10" s="15">
        <f>IF(K10="","",($G10+K10-(IF(K10/(1+IF(K10&lt;100000,0,1%))&lt;100000,0,K10/(1+IF(K10&lt;100000,0,1%))*1%)))*80%-5000*$E10-($H10+(IF(K10/(1+IF(K10&lt;100000,0,1%))&lt;100000,0,K10/(1+IF(K10&lt;100000,0,1%))*1%*5%))))</f>
        <v/>
      </c>
      <c r="AB10" s="15">
        <f>IF(L10="","",($G10+L10-(IF(L10/(1+IF(L10&lt;100000,0,1%))&lt;100000,0,L10/(1+IF(L10&lt;100000,0,1%))*1%)))*80%-5000*$E10-($H10+(IF(L10/(1+IF(L10&lt;100000,0,1%))&lt;100000,0,L10/(1+IF(L10&lt;100000,0,1%))*1%*5%))))</f>
        <v/>
      </c>
      <c r="AC10" s="15">
        <f>IF(M10="","",($G10+M10-(IF(M10/(1+IF(M10&lt;100000,0,1%))&lt;100000,0,M10/(1+IF(M10&lt;100000,0,1%))*1%)))*80%-5000*$E10-($H10+(IF(M10/(1+IF(M10&lt;100000,0,1%))&lt;100000,0,M10/(1+IF(M10&lt;100000,0,1%))*1%*5%))))</f>
        <v/>
      </c>
      <c r="AD10" s="15">
        <f>IF(N10="","",($G10+N10-(IF(N10/(1+IF(N10&lt;100000,0,1%))&lt;100000,0,N10/(1+IF(N10&lt;100000,0,1%))*1%)))*80%-5000*$E10-($H10+(IF(N10/(1+IF(N10&lt;100000,0,1%))&lt;100000,0,N10/(1+IF(N10&lt;100000,0,1%))*1%*5%))))</f>
        <v/>
      </c>
      <c r="AE10" s="15">
        <f>IF(O10="","",($G10+O10-(IF(O10/(1+IF(O10&lt;100000,0,1%))&lt;100000,0,O10/(1+IF(O10&lt;100000,0,1%))*1%)))*80%-5000*$E10-($H10+(IF(O10/(1+IF(O10&lt;100000,0,1%))&lt;100000,0,O10/(1+IF(O10&lt;100000,0,1%))*1%*5%))))</f>
        <v/>
      </c>
      <c r="AF10" s="15">
        <f>IF(P10="","",($G10+P10-(IF(P10/(1+IF(P10&lt;100000,0,1%))&lt;100000,0,P10/(1+IF(P10&lt;100000,0,1%))*1%)))*80%-5000*$E10-($H10+(IF(P10/(1+IF(P10&lt;100000,0,1%))&lt;100000,0,P10/(1+IF(P10&lt;100000,0,1%))*1%*5%))))</f>
        <v/>
      </c>
      <c r="AG10" s="15">
        <f>IF(Q10="","",($G10+Q10-(IF(Q10/(1+IF(Q10&lt;100000,0,1%))&lt;100000,0,Q10/(1+IF(Q10&lt;100000,0,1%))*1%)))*80%-5000*$E10-($H10+(IF(Q10/(1+IF(Q10&lt;100000,0,1%))&lt;100000,0,Q10/(1+IF(Q10&lt;100000,0,1%))*1%*5%))))</f>
        <v/>
      </c>
      <c r="AH10" s="15">
        <f>IF(R10="","",($G10+R10-(IF(R10/(1+IF(R10&lt;100000,0,1%))&lt;100000,0,R10/(1+IF(R10&lt;100000,0,1%))*1%)))*80%-5000*$E10-($H10+(IF(R10/(1+IF(R10&lt;100000,0,1%))&lt;100000,0,R10/(1+IF(R10&lt;100000,0,1%))*1%*5%))))</f>
        <v/>
      </c>
      <c r="AI10" s="15">
        <f>IF(S10="","",($G10+S10-(IF(S10/(1+IF(S10&lt;100000,0,1%))&lt;100000,0,S10/(1+IF(S10&lt;100000,0,1%))*1%)))*80%-5000*$E10-($H10+(IF(S10/(1+IF(S10&lt;100000,0,1%))&lt;100000,0,S10/(1+IF(S10&lt;100000,0,1%))*1%*5%))))</f>
        <v/>
      </c>
      <c r="AJ10" s="15">
        <f>IF(T10="","",($G10+T10-(IF(T10/(1+IF(T10&lt;100000,0,1%))&lt;100000,0,T10/(1+IF(T10&lt;100000,0,1%))*1%)))*80%-5000*$E10-($H10+(IF(T10/(1+IF(T10&lt;100000,0,1%))&lt;100000,0,T10/(1+IF(T10&lt;100000,0,1%))*1%*5%))))</f>
        <v/>
      </c>
      <c r="AK10" s="15">
        <f>IF(U10="","",($G10+U10-(IF(U10/(1+IF(U10&lt;100000,0,1%))&lt;100000,0,U10/(1+IF(U10&lt;100000,0,1%))*1%)))*80%-5000*$E10-($H10+(IF(U10/(1+IF(U10&lt;100000,0,1%))&lt;100000,0,U10/(1+IF(U10&lt;100000,0,1%))*1%*5%))))</f>
        <v/>
      </c>
      <c r="AL10" s="15">
        <f>IF(V10="","",($G10+V10-(IF(V10/(1+IF(V10&lt;100000,0,1%))&lt;100000,0,V10/(1+IF(V10&lt;100000,0,1%))*1%)))*80%-5000*$E10-($H10+(IF(V10/(1+IF(V10&lt;100000,0,1%))&lt;100000,0,V10/(1+IF(V10&lt;100000,0,1%))*1%*5%))))</f>
        <v/>
      </c>
      <c r="AM10" s="15">
        <f>IF(W10="","",($G10+W10-(IF(W10/(1+IF(W10&lt;100000,0,1%))&lt;100000,0,W10/(1+IF(W10&lt;100000,0,1%))*1%)))*80%-5000*$E10-($H10+(IF(W10/(1+IF(W10&lt;100000,0,1%))&lt;100000,0,W10/(1+IF(W10&lt;100000,0,1%))*1%*5%))))</f>
        <v/>
      </c>
      <c r="AN10" s="15">
        <f>IF(X10="","",($G10+X10-(IF(X10/(1+IF(X10&lt;100000,0,1%))&lt;100000,0,X10/(1+IF(X10&lt;100000,0,1%))*1%)))*80%-5000*$E10-($H10+(IF(X10/(1+IF(X10&lt;100000,0,1%))&lt;100000,0,X10/(1+IF(X10&lt;100000,0,1%))*1%*5%))))</f>
        <v/>
      </c>
      <c r="AO10" s="15">
        <f>IF(Y10="","",($G10+Y10-(IF(Y10/(1+IF(Y10&lt;100000,0,1%))&lt;100000,0,Y10/(1+IF(Y10&lt;100000,0,1%))*1%)))*80%-5000*$E10-($H10+(IF(Y10/(1+IF(Y10&lt;100000,0,1%))&lt;100000,0,Y10/(1+IF(Y10&lt;100000,0,1%))*1%*5%))))</f>
        <v/>
      </c>
      <c r="AP10" s="15">
        <f>IF(Z10="","",MAX(0,Z10*IF(Z10&lt;=36000,3%,IF(Z10&lt;=144000,10%,IF(Z10&lt;=300000,20%,IF(Z10&lt;=420000,25%,IF(Z10&lt;=660000,30%,IF(Z10&lt;=960000,35%,45%))))))-IF(Z10&lt;=36000,0,IF(Z10&lt;=144000,2520,IF(Z10&lt;=300000,16920,IF(Z10&lt;=420000,31920,IF(Z10&lt;=660000,52920,IF(Z10&lt;=960000,85920,181920))))))-$F10))</f>
        <v/>
      </c>
      <c r="AQ10" s="15">
        <f>IF(AA10="","",MAX(0,AA10*IF(AA10&lt;=36000,3%,IF(AA10&lt;=144000,10%,IF(AA10&lt;=300000,20%,IF(AA10&lt;=420000,25%,IF(AA10&lt;=660000,30%,IF(AA10&lt;=960000,35%,45%))))))-IF(AA10&lt;=36000,0,IF(AA10&lt;=144000,2520,IF(AA10&lt;=300000,16920,IF(AA10&lt;=420000,31920,IF(AA10&lt;=660000,52920,IF(AA10&lt;=960000,85920,181920))))))-$F10))</f>
        <v/>
      </c>
      <c r="AR10" s="15">
        <f>IF(AB10="","",MAX(0,AB10*IF(AB10&lt;=36000,3%,IF(AB10&lt;=144000,10%,IF(AB10&lt;=300000,20%,IF(AB10&lt;=420000,25%,IF(AB10&lt;=660000,30%,IF(AB10&lt;=960000,35%,45%))))))-IF(AB10&lt;=36000,0,IF(AB10&lt;=144000,2520,IF(AB10&lt;=300000,16920,IF(AB10&lt;=420000,31920,IF(AB10&lt;=660000,52920,IF(AB10&lt;=960000,85920,181920))))))-$F10))</f>
        <v/>
      </c>
      <c r="AS10" s="15">
        <f>IF(AC10="","",MAX(0,AC10*IF(AC10&lt;=36000,3%,IF(AC10&lt;=144000,10%,IF(AC10&lt;=300000,20%,IF(AC10&lt;=420000,25%,IF(AC10&lt;=660000,30%,IF(AC10&lt;=960000,35%,45%))))))-IF(AC10&lt;=36000,0,IF(AC10&lt;=144000,2520,IF(AC10&lt;=300000,16920,IF(AC10&lt;=420000,31920,IF(AC10&lt;=660000,52920,IF(AC10&lt;=960000,85920,181920))))))-$F10))</f>
        <v/>
      </c>
      <c r="AT10" s="15">
        <f>IF(AD10="","",MAX(0,AD10*IF(AD10&lt;=36000,3%,IF(AD10&lt;=144000,10%,IF(AD10&lt;=300000,20%,IF(AD10&lt;=420000,25%,IF(AD10&lt;=660000,30%,IF(AD10&lt;=960000,35%,45%))))))-IF(AD10&lt;=36000,0,IF(AD10&lt;=144000,2520,IF(AD10&lt;=300000,16920,IF(AD10&lt;=420000,31920,IF(AD10&lt;=660000,52920,IF(AD10&lt;=960000,85920,181920))))))-$F10))</f>
        <v/>
      </c>
      <c r="AU10" s="15">
        <f>IF(AE10="","",MAX(0,AE10*IF(AE10&lt;=36000,3%,IF(AE10&lt;=144000,10%,IF(AE10&lt;=300000,20%,IF(AE10&lt;=420000,25%,IF(AE10&lt;=660000,30%,IF(AE10&lt;=960000,35%,45%))))))-IF(AE10&lt;=36000,0,IF(AE10&lt;=144000,2520,IF(AE10&lt;=300000,16920,IF(AE10&lt;=420000,31920,IF(AE10&lt;=660000,52920,IF(AE10&lt;=960000,85920,181920))))))-$F10))</f>
        <v/>
      </c>
      <c r="AV10" s="15">
        <f>IF(AF10="","",MAX(0,AF10*IF(AF10&lt;=36000,3%,IF(AF10&lt;=144000,10%,IF(AF10&lt;=300000,20%,IF(AF10&lt;=420000,25%,IF(AF10&lt;=660000,30%,IF(AF10&lt;=960000,35%,45%))))))-IF(AF10&lt;=36000,0,IF(AF10&lt;=144000,2520,IF(AF10&lt;=300000,16920,IF(AF10&lt;=420000,31920,IF(AF10&lt;=660000,52920,IF(AF10&lt;=960000,85920,181920))))))-$F10))</f>
        <v/>
      </c>
      <c r="AW10" s="15">
        <f>IF(AG10="","",MAX(0,AG10*IF(AG10&lt;=36000,3%,IF(AG10&lt;=144000,10%,IF(AG10&lt;=300000,20%,IF(AG10&lt;=420000,25%,IF(AG10&lt;=660000,30%,IF(AG10&lt;=960000,35%,45%))))))-IF(AG10&lt;=36000,0,IF(AG10&lt;=144000,2520,IF(AG10&lt;=300000,16920,IF(AG10&lt;=420000,31920,IF(AG10&lt;=660000,52920,IF(AG10&lt;=960000,85920,181920))))))-$F10))</f>
        <v/>
      </c>
      <c r="AX10" s="15">
        <f>IF(AH10="","",MAX(0,AH10*IF(AH10&lt;=36000,3%,IF(AH10&lt;=144000,10%,IF(AH10&lt;=300000,20%,IF(AH10&lt;=420000,25%,IF(AH10&lt;=660000,30%,IF(AH10&lt;=960000,35%,45%))))))-IF(AH10&lt;=36000,0,IF(AH10&lt;=144000,2520,IF(AH10&lt;=300000,16920,IF(AH10&lt;=420000,31920,IF(AH10&lt;=660000,52920,IF(AH10&lt;=960000,85920,181920))))))-$F10))</f>
        <v/>
      </c>
      <c r="AY10" s="15">
        <f>IF(AI10="","",MAX(0,AI10*IF(AI10&lt;=36000,3%,IF(AI10&lt;=144000,10%,IF(AI10&lt;=300000,20%,IF(AI10&lt;=420000,25%,IF(AI10&lt;=660000,30%,IF(AI10&lt;=960000,35%,45%))))))-IF(AI10&lt;=36000,0,IF(AI10&lt;=144000,2520,IF(AI10&lt;=300000,16920,IF(AI10&lt;=420000,31920,IF(AI10&lt;=660000,52920,IF(AI10&lt;=960000,85920,181920))))))-$F10))</f>
        <v/>
      </c>
      <c r="AZ10" s="15">
        <f>IF(AJ10="","",MAX(0,AJ10*IF(AJ10&lt;=36000,3%,IF(AJ10&lt;=144000,10%,IF(AJ10&lt;=300000,20%,IF(AJ10&lt;=420000,25%,IF(AJ10&lt;=660000,30%,IF(AJ10&lt;=960000,35%,45%))))))-IF(AJ10&lt;=36000,0,IF(AJ10&lt;=144000,2520,IF(AJ10&lt;=300000,16920,IF(AJ10&lt;=420000,31920,IF(AJ10&lt;=660000,52920,IF(AJ10&lt;=960000,85920,181920))))))-$F10))</f>
        <v/>
      </c>
      <c r="BA10" s="15">
        <f>IF(AK10="","",MAX(0,AK10*IF(AK10&lt;=36000,3%,IF(AK10&lt;=144000,10%,IF(AK10&lt;=300000,20%,IF(AK10&lt;=420000,25%,IF(AK10&lt;=660000,30%,IF(AK10&lt;=960000,35%,45%))))))-IF(AK10&lt;=36000,0,IF(AK10&lt;=144000,2520,IF(AK10&lt;=300000,16920,IF(AK10&lt;=420000,31920,IF(AK10&lt;=660000,52920,IF(AK10&lt;=960000,85920,181920))))))-$F10))</f>
        <v/>
      </c>
      <c r="BB10" s="15">
        <f>IF(AL10="","",MAX(0,AL10*IF(AL10&lt;=36000,3%,IF(AL10&lt;=144000,10%,IF(AL10&lt;=300000,20%,IF(AL10&lt;=420000,25%,IF(AL10&lt;=660000,30%,IF(AL10&lt;=960000,35%,45%))))))-IF(AL10&lt;=36000,0,IF(AL10&lt;=144000,2520,IF(AL10&lt;=300000,16920,IF(AL10&lt;=420000,31920,IF(AL10&lt;=660000,52920,IF(AL10&lt;=960000,85920,181920))))))-$F10))</f>
        <v/>
      </c>
      <c r="BC10" s="15">
        <f>IF(AM10="","",MAX(0,AM10*IF(AM10&lt;=36000,3%,IF(AM10&lt;=144000,10%,IF(AM10&lt;=300000,20%,IF(AM10&lt;=420000,25%,IF(AM10&lt;=660000,30%,IF(AM10&lt;=960000,35%,45%))))))-IF(AM10&lt;=36000,0,IF(AM10&lt;=144000,2520,IF(AM10&lt;=300000,16920,IF(AM10&lt;=420000,31920,IF(AM10&lt;=660000,52920,IF(AM10&lt;=960000,85920,181920))))))-$F10))</f>
        <v/>
      </c>
      <c r="BD10" s="15">
        <f>IF(AN10="","",MAX(0,AN10*IF(AN10&lt;=36000,3%,IF(AN10&lt;=144000,10%,IF(AN10&lt;=300000,20%,IF(AN10&lt;=420000,25%,IF(AN10&lt;=660000,30%,IF(AN10&lt;=960000,35%,45%))))))-IF(AN10&lt;=36000,0,IF(AN10&lt;=144000,2520,IF(AN10&lt;=300000,16920,IF(AN10&lt;=420000,31920,IF(AN10&lt;=660000,52920,IF(AN10&lt;=960000,85920,181920))))))-$F10))</f>
        <v/>
      </c>
      <c r="BE10" s="15">
        <f>IF(AO10="","",MAX(0,AO10*IF(AO10&lt;=36000,3%,IF(AO10&lt;=144000,10%,IF(AO10&lt;=300000,20%,IF(AO10&lt;=420000,25%,IF(AO10&lt;=660000,30%,IF(AO10&lt;=960000,35%,45%))))))-IF(AO10&lt;=36000,0,IF(AO10&lt;=144000,2520,IF(AO10&lt;=300000,16920,IF(AO10&lt;=420000,31920,IF(AO10&lt;=660000,52920,IF(AO10&lt;=960000,85920,181920))))))-$F10))</f>
        <v/>
      </c>
      <c r="BF10" s="15">
        <f>IF(J10="","",J10-(IF(J10/(1+IF(J10&lt;100000,0,1%))&lt;100000,0,J10/(1+IF(J10&lt;100000,0,1%))*1%))-(IF(J10/(1+IF(J10&lt;100000,0,1%))&lt;100000,0,J10/(1+IF(J10&lt;100000,0,1%))*1%*5%))-AP10)</f>
        <v/>
      </c>
      <c r="BG10" s="15">
        <f>IF(K10="","",K10-(IF(K10/(1+IF(K10&lt;100000,0,1%))&lt;100000,0,K10/(1+IF(K10&lt;100000,0,1%))*1%))-(IF(K10/(1+IF(K10&lt;100000,0,1%))&lt;100000,0,K10/(1+IF(K10&lt;100000,0,1%))*1%*5%))-AQ10)</f>
        <v/>
      </c>
      <c r="BH10" s="15">
        <f>IF(L10="","",L10-(IF(L10/(1+IF(L10&lt;100000,0,1%))&lt;100000,0,L10/(1+IF(L10&lt;100000,0,1%))*1%))-(IF(L10/(1+IF(L10&lt;100000,0,1%))&lt;100000,0,L10/(1+IF(L10&lt;100000,0,1%))*1%*5%))-AR10)</f>
        <v/>
      </c>
      <c r="BI10" s="15">
        <f>IF(M10="","",M10-(IF(M10/(1+IF(M10&lt;100000,0,1%))&lt;100000,0,M10/(1+IF(M10&lt;100000,0,1%))*1%))-(IF(M10/(1+IF(M10&lt;100000,0,1%))&lt;100000,0,M10/(1+IF(M10&lt;100000,0,1%))*1%*5%))-AS10)</f>
        <v/>
      </c>
      <c r="BJ10" s="15">
        <f>IF(N10="","",N10-(IF(N10/(1+IF(N10&lt;100000,0,1%))&lt;100000,0,N10/(1+IF(N10&lt;100000,0,1%))*1%))-(IF(N10/(1+IF(N10&lt;100000,0,1%))&lt;100000,0,N10/(1+IF(N10&lt;100000,0,1%))*1%*5%))-AT10)</f>
        <v/>
      </c>
      <c r="BK10" s="15">
        <f>IF(O10="","",O10-(IF(O10/(1+IF(O10&lt;100000,0,1%))&lt;100000,0,O10/(1+IF(O10&lt;100000,0,1%))*1%))-(IF(O10/(1+IF(O10&lt;100000,0,1%))&lt;100000,0,O10/(1+IF(O10&lt;100000,0,1%))*1%*5%))-AU10)</f>
        <v/>
      </c>
      <c r="BL10" s="15">
        <f>IF(P10="","",P10-(IF(P10/(1+IF(P10&lt;100000,0,1%))&lt;100000,0,P10/(1+IF(P10&lt;100000,0,1%))*1%))-(IF(P10/(1+IF(P10&lt;100000,0,1%))&lt;100000,0,P10/(1+IF(P10&lt;100000,0,1%))*1%*5%))-AV10)</f>
        <v/>
      </c>
      <c r="BM10" s="15">
        <f>IF(Q10="","",Q10-(IF(Q10/(1+IF(Q10&lt;100000,0,1%))&lt;100000,0,Q10/(1+IF(Q10&lt;100000,0,1%))*1%))-(IF(Q10/(1+IF(Q10&lt;100000,0,1%))&lt;100000,0,Q10/(1+IF(Q10&lt;100000,0,1%))*1%*5%))-AW10)</f>
        <v/>
      </c>
      <c r="BN10" s="15">
        <f>IF(R10="","",R10-(IF(R10/(1+IF(R10&lt;100000,0,1%))&lt;100000,0,R10/(1+IF(R10&lt;100000,0,1%))*1%))-(IF(R10/(1+IF(R10&lt;100000,0,1%))&lt;100000,0,R10/(1+IF(R10&lt;100000,0,1%))*1%*5%))-AX10)</f>
        <v/>
      </c>
      <c r="BO10" s="15">
        <f>IF(S10="","",S10-(IF(S10/(1+IF(S10&lt;100000,0,1%))&lt;100000,0,S10/(1+IF(S10&lt;100000,0,1%))*1%))-(IF(S10/(1+IF(S10&lt;100000,0,1%))&lt;100000,0,S10/(1+IF(S10&lt;100000,0,1%))*1%*5%))-AY10)</f>
        <v/>
      </c>
      <c r="BP10" s="15">
        <f>IF(T10="","",T10-(IF(T10/(1+IF(T10&lt;100000,0,1%))&lt;100000,0,T10/(1+IF(T10&lt;100000,0,1%))*1%))-(IF(T10/(1+IF(T10&lt;100000,0,1%))&lt;100000,0,T10/(1+IF(T10&lt;100000,0,1%))*1%*5%))-AZ10)</f>
        <v/>
      </c>
      <c r="BQ10" s="15">
        <f>IF(U10="","",U10-(IF(U10/(1+IF(U10&lt;100000,0,1%))&lt;100000,0,U10/(1+IF(U10&lt;100000,0,1%))*1%))-(IF(U10/(1+IF(U10&lt;100000,0,1%))&lt;100000,0,U10/(1+IF(U10&lt;100000,0,1%))*1%*5%))-BA10)</f>
        <v/>
      </c>
      <c r="BR10" s="15">
        <f>IF(V10="","",V10-(IF(V10/(1+IF(V10&lt;100000,0,1%))&lt;100000,0,V10/(1+IF(V10&lt;100000,0,1%))*1%))-(IF(V10/(1+IF(V10&lt;100000,0,1%))&lt;100000,0,V10/(1+IF(V10&lt;100000,0,1%))*1%*5%))-BB10)</f>
        <v/>
      </c>
      <c r="BS10" s="15">
        <f>IF(W10="","",W10-(IF(W10/(1+IF(W10&lt;100000,0,1%))&lt;100000,0,W10/(1+IF(W10&lt;100000,0,1%))*1%))-(IF(W10/(1+IF(W10&lt;100000,0,1%))&lt;100000,0,W10/(1+IF(W10&lt;100000,0,1%))*1%*5%))-BC10)</f>
        <v/>
      </c>
      <c r="BT10" s="15">
        <f>IF(X10="","",X10-(IF(X10/(1+IF(X10&lt;100000,0,1%))&lt;100000,0,X10/(1+IF(X10&lt;100000,0,1%))*1%))-(IF(X10/(1+IF(X10&lt;100000,0,1%))&lt;100000,0,X10/(1+IF(X10&lt;100000,0,1%))*1%*5%))-BD10)</f>
        <v/>
      </c>
      <c r="BU10" s="15">
        <f>IF(Y10="","",Y10-(IF(Y10/(1+IF(Y10&lt;100000,0,1%))&lt;100000,0,Y10/(1+IF(Y10&lt;100000,0,1%))*1%))-(IF(Y10/(1+IF(Y10&lt;100000,0,1%))&lt;100000,0,Y10/(1+IF(Y10&lt;100000,0,1%))*1%*5%))-BE10)</f>
        <v/>
      </c>
      <c r="BV10" s="15">
        <f>IF(BF10="","",ABS(BF10-$B10))</f>
        <v/>
      </c>
      <c r="BW10" s="15">
        <f>IF(BG10="","",ABS(BG10-$B10))</f>
        <v/>
      </c>
      <c r="BX10" s="15">
        <f>IF(BH10="","",ABS(BH10-$B10))</f>
        <v/>
      </c>
      <c r="BY10" s="15">
        <f>IF(BI10="","",ABS(BI10-$B10))</f>
        <v/>
      </c>
      <c r="BZ10" s="15">
        <f>IF(BJ10="","",ABS(BJ10-$B10))</f>
        <v/>
      </c>
      <c r="CA10" s="15">
        <f>IF(BK10="","",ABS(BK10-$B10))</f>
        <v/>
      </c>
      <c r="CB10" s="15">
        <f>IF(BL10="","",ABS(BL10-$B10))</f>
        <v/>
      </c>
      <c r="CC10" s="15">
        <f>IF(BM10="","",ABS(BM10-$B10))</f>
        <v/>
      </c>
      <c r="CD10" s="15">
        <f>IF(BN10="","",ABS(BN10-$B10))</f>
        <v/>
      </c>
      <c r="CE10" s="15">
        <f>IF(BO10="","",ABS(BO10-$B10))</f>
        <v/>
      </c>
      <c r="CF10" s="15">
        <f>IF(BP10="","",ABS(BP10-$B10))</f>
        <v/>
      </c>
      <c r="CG10" s="15">
        <f>IF(BQ10="","",ABS(BQ10-$B10))</f>
        <v/>
      </c>
      <c r="CH10" s="15">
        <f>IF(BR10="","",ABS(BR10-$B10))</f>
        <v/>
      </c>
      <c r="CI10" s="15">
        <f>IF(BS10="","",ABS(BS10-$B10))</f>
        <v/>
      </c>
      <c r="CJ10" s="15">
        <f>IF(BT10="","",ABS(BT10-$B10))</f>
        <v/>
      </c>
      <c r="CK10" s="15">
        <f>IF(BU10="","",ABS(BU10-$B10))</f>
        <v/>
      </c>
      <c r="CL10" s="14">
        <f>IF(J10="","",AND(J10&gt;0,J10&lt;101000,BV10&lt;0.05,AP10=0))</f>
        <v/>
      </c>
      <c r="CM10" s="14">
        <f>IF(K10="","",AND(K10&gt;0,K10&gt;=101000,BW10&lt;0.05,AQ10=0))</f>
        <v/>
      </c>
      <c r="CN10" s="14">
        <f>IF(L10="","",AND(L10&gt;0,L10&lt;101000,BX10&lt;0.05,AR10&gt;0))</f>
        <v/>
      </c>
      <c r="CO10" s="14">
        <f>IF(M10="","",AND(M10&gt;0,M10&lt;101000,BY10&lt;0.05,AS10&gt;0))</f>
        <v/>
      </c>
      <c r="CP10" s="14">
        <f>IF(N10="","",AND(N10&gt;0,N10&lt;101000,BZ10&lt;0.05,AT10&gt;0))</f>
        <v/>
      </c>
      <c r="CQ10" s="14">
        <f>IF(O10="","",AND(O10&gt;0,O10&lt;101000,CA10&lt;0.05,AU10&gt;0))</f>
        <v/>
      </c>
      <c r="CR10" s="14">
        <f>IF(P10="","",AND(P10&gt;0,P10&lt;101000,CB10&lt;0.05,AV10&gt;0))</f>
        <v/>
      </c>
      <c r="CS10" s="14">
        <f>IF(Q10="","",AND(Q10&gt;0,Q10&lt;101000,CC10&lt;0.05,AW10&gt;0))</f>
        <v/>
      </c>
      <c r="CT10" s="14">
        <f>IF(R10="","",AND(R10&gt;0,R10&lt;101000,CD10&lt;0.05,AX10&gt;0))</f>
        <v/>
      </c>
      <c r="CU10" s="14">
        <f>IF(S10="","",AND(S10&gt;0,S10&gt;=101000,CE10&lt;0.05,AY10&gt;0))</f>
        <v/>
      </c>
      <c r="CV10" s="14">
        <f>IF(T10="","",AND(T10&gt;0,T10&gt;=101000,CF10&lt;0.05,AZ10&gt;0))</f>
        <v/>
      </c>
      <c r="CW10" s="14">
        <f>IF(U10="","",AND(U10&gt;0,U10&gt;=101000,CG10&lt;0.05,BA10&gt;0))</f>
        <v/>
      </c>
      <c r="CX10" s="14">
        <f>IF(V10="","",AND(V10&gt;0,V10&gt;=101000,CH10&lt;0.05,BB10&gt;0))</f>
        <v/>
      </c>
      <c r="CY10" s="14">
        <f>IF(W10="","",AND(W10&gt;0,W10&gt;=101000,CI10&lt;0.05,BC10&gt;0))</f>
        <v/>
      </c>
      <c r="CZ10" s="14">
        <f>IF(X10="","",AND(X10&gt;0,X10&gt;=101000,CJ10&lt;0.05,BD10&gt;0))</f>
        <v/>
      </c>
      <c r="DA10" s="14">
        <f>IF(Y10="","",AND(Y10&gt;0,Y10&gt;=101000,CK10&lt;0.05,BE10&gt;0))</f>
        <v/>
      </c>
      <c r="DB10" s="14">
        <f>IFERROR(MATCH(TRUE,CL10:DA10,0),"")</f>
        <v/>
      </c>
      <c r="DC10" s="15">
        <f>IF(DB10="","",INDEX(J10:Y10,DB10))</f>
        <v/>
      </c>
      <c r="DD10" s="15">
        <f>IF(DB10="","",INDEX(BF10:BU10,DB10))</f>
        <v/>
      </c>
    </row>
    <row r="11">
      <c r="A11" s="14" t="n">
        <v>10</v>
      </c>
      <c r="B11" s="15">
        <f>'月度计算'!C14</f>
        <v/>
      </c>
      <c r="C11" s="14">
        <f>'月度计算'!D14</f>
        <v/>
      </c>
      <c r="D11" s="15">
        <f>'月度计算'!B14</f>
        <v/>
      </c>
      <c r="E11" s="14">
        <f>'月度计算'!E14</f>
        <v/>
      </c>
      <c r="F11" s="15">
        <f>'月度计算'!F14</f>
        <v/>
      </c>
      <c r="G11" s="15">
        <f>'月度计算'!AB14</f>
        <v/>
      </c>
      <c r="H11" s="15">
        <f>'月度计算'!AC14</f>
        <v/>
      </c>
      <c r="I11" s="15">
        <f>IF(C11=0,"",G11*80%-5000*E11-H11)</f>
        <v/>
      </c>
      <c r="J11" s="15">
        <f>IF(OR($C11=0,$B11="",$D11&lt;&gt;""),"",$B11/(1-(0)))</f>
        <v/>
      </c>
      <c r="K11" s="15">
        <f>IF(OR($C11=0,$B11="",$D11&lt;&gt;""),"",$B11/(1-(21/2020)))</f>
        <v/>
      </c>
      <c r="L11" s="15">
        <f>IF(OR($C11=0,$B11="",$D11&lt;&gt;""),"",($B11-0-$F11+$I11*0.03)/(1-(0)-(0.8)*0.03))</f>
        <v/>
      </c>
      <c r="M11" s="15">
        <f>IF(OR($C11=0,$B11="",$D11&lt;&gt;""),"",($B11-2520-$F11+$I11*0.1)/(1-(0)-(0.8)*0.1))</f>
        <v/>
      </c>
      <c r="N11" s="15">
        <f>IF(OR($C11=0,$B11="",$D11&lt;&gt;""),"",($B11-16920-$F11+$I11*0.2)/(1-(0)-(0.8)*0.2))</f>
        <v/>
      </c>
      <c r="O11" s="15">
        <f>IF(OR($C11=0,$B11="",$D11&lt;&gt;""),"",($B11-31920-$F11+$I11*0.25)/(1-(0)-(0.8)*0.25))</f>
        <v/>
      </c>
      <c r="P11" s="15">
        <f>IF(OR($C11=0,$B11="",$D11&lt;&gt;""),"",($B11-52920-$F11+$I11*0.3)/(1-(0)-(0.8)*0.3))</f>
        <v/>
      </c>
      <c r="Q11" s="15">
        <f>IF(OR($C11=0,$B11="",$D11&lt;&gt;""),"",($B11-85920-$F11+$I11*0.35)/(1-(0)-(0.8)*0.35))</f>
        <v/>
      </c>
      <c r="R11" s="15">
        <f>IF(OR($C11=0,$B11="",$D11&lt;&gt;""),"",($B11-181920-$F11+$I11*0.45)/(1-(0)-(0.8)*0.45))</f>
        <v/>
      </c>
      <c r="S11" s="15">
        <f>IF(OR($C11=0,$B11="",$D11&lt;&gt;""),"",($B11-0-$F11+$I11*0.03)/(1-(21/2020)-(1599/2020)*0.03))</f>
        <v/>
      </c>
      <c r="T11" s="15">
        <f>IF(OR($C11=0,$B11="",$D11&lt;&gt;""),"",($B11-2520-$F11+$I11*0.1)/(1-(21/2020)-(1599/2020)*0.1))</f>
        <v/>
      </c>
      <c r="U11" s="15">
        <f>IF(OR($C11=0,$B11="",$D11&lt;&gt;""),"",($B11-16920-$F11+$I11*0.2)/(1-(21/2020)-(1599/2020)*0.2))</f>
        <v/>
      </c>
      <c r="V11" s="15">
        <f>IF(OR($C11=0,$B11="",$D11&lt;&gt;""),"",($B11-31920-$F11+$I11*0.25)/(1-(21/2020)-(1599/2020)*0.25))</f>
        <v/>
      </c>
      <c r="W11" s="15">
        <f>IF(OR($C11=0,$B11="",$D11&lt;&gt;""),"",($B11-52920-$F11+$I11*0.3)/(1-(21/2020)-(1599/2020)*0.3))</f>
        <v/>
      </c>
      <c r="X11" s="15">
        <f>IF(OR($C11=0,$B11="",$D11&lt;&gt;""),"",($B11-85920-$F11+$I11*0.35)/(1-(21/2020)-(1599/2020)*0.35))</f>
        <v/>
      </c>
      <c r="Y11" s="15">
        <f>IF(OR($C11=0,$B11="",$D11&lt;&gt;""),"",($B11-181920-$F11+$I11*0.45)/(1-(21/2020)-(1599/2020)*0.45))</f>
        <v/>
      </c>
      <c r="Z11" s="15">
        <f>IF(J11="","",($G11+J11-(IF(J11/(1+IF(J11&lt;100000,0,1%))&lt;100000,0,J11/(1+IF(J11&lt;100000,0,1%))*1%)))*80%-5000*$E11-($H11+(IF(J11/(1+IF(J11&lt;100000,0,1%))&lt;100000,0,J11/(1+IF(J11&lt;100000,0,1%))*1%*5%))))</f>
        <v/>
      </c>
      <c r="AA11" s="15">
        <f>IF(K11="","",($G11+K11-(IF(K11/(1+IF(K11&lt;100000,0,1%))&lt;100000,0,K11/(1+IF(K11&lt;100000,0,1%))*1%)))*80%-5000*$E11-($H11+(IF(K11/(1+IF(K11&lt;100000,0,1%))&lt;100000,0,K11/(1+IF(K11&lt;100000,0,1%))*1%*5%))))</f>
        <v/>
      </c>
      <c r="AB11" s="15">
        <f>IF(L11="","",($G11+L11-(IF(L11/(1+IF(L11&lt;100000,0,1%))&lt;100000,0,L11/(1+IF(L11&lt;100000,0,1%))*1%)))*80%-5000*$E11-($H11+(IF(L11/(1+IF(L11&lt;100000,0,1%))&lt;100000,0,L11/(1+IF(L11&lt;100000,0,1%))*1%*5%))))</f>
        <v/>
      </c>
      <c r="AC11" s="15">
        <f>IF(M11="","",($G11+M11-(IF(M11/(1+IF(M11&lt;100000,0,1%))&lt;100000,0,M11/(1+IF(M11&lt;100000,0,1%))*1%)))*80%-5000*$E11-($H11+(IF(M11/(1+IF(M11&lt;100000,0,1%))&lt;100000,0,M11/(1+IF(M11&lt;100000,0,1%))*1%*5%))))</f>
        <v/>
      </c>
      <c r="AD11" s="15">
        <f>IF(N11="","",($G11+N11-(IF(N11/(1+IF(N11&lt;100000,0,1%))&lt;100000,0,N11/(1+IF(N11&lt;100000,0,1%))*1%)))*80%-5000*$E11-($H11+(IF(N11/(1+IF(N11&lt;100000,0,1%))&lt;100000,0,N11/(1+IF(N11&lt;100000,0,1%))*1%*5%))))</f>
        <v/>
      </c>
      <c r="AE11" s="15">
        <f>IF(O11="","",($G11+O11-(IF(O11/(1+IF(O11&lt;100000,0,1%))&lt;100000,0,O11/(1+IF(O11&lt;100000,0,1%))*1%)))*80%-5000*$E11-($H11+(IF(O11/(1+IF(O11&lt;100000,0,1%))&lt;100000,0,O11/(1+IF(O11&lt;100000,0,1%))*1%*5%))))</f>
        <v/>
      </c>
      <c r="AF11" s="15">
        <f>IF(P11="","",($G11+P11-(IF(P11/(1+IF(P11&lt;100000,0,1%))&lt;100000,0,P11/(1+IF(P11&lt;100000,0,1%))*1%)))*80%-5000*$E11-($H11+(IF(P11/(1+IF(P11&lt;100000,0,1%))&lt;100000,0,P11/(1+IF(P11&lt;100000,0,1%))*1%*5%))))</f>
        <v/>
      </c>
      <c r="AG11" s="15">
        <f>IF(Q11="","",($G11+Q11-(IF(Q11/(1+IF(Q11&lt;100000,0,1%))&lt;100000,0,Q11/(1+IF(Q11&lt;100000,0,1%))*1%)))*80%-5000*$E11-($H11+(IF(Q11/(1+IF(Q11&lt;100000,0,1%))&lt;100000,0,Q11/(1+IF(Q11&lt;100000,0,1%))*1%*5%))))</f>
        <v/>
      </c>
      <c r="AH11" s="15">
        <f>IF(R11="","",($G11+R11-(IF(R11/(1+IF(R11&lt;100000,0,1%))&lt;100000,0,R11/(1+IF(R11&lt;100000,0,1%))*1%)))*80%-5000*$E11-($H11+(IF(R11/(1+IF(R11&lt;100000,0,1%))&lt;100000,0,R11/(1+IF(R11&lt;100000,0,1%))*1%*5%))))</f>
        <v/>
      </c>
      <c r="AI11" s="15">
        <f>IF(S11="","",($G11+S11-(IF(S11/(1+IF(S11&lt;100000,0,1%))&lt;100000,0,S11/(1+IF(S11&lt;100000,0,1%))*1%)))*80%-5000*$E11-($H11+(IF(S11/(1+IF(S11&lt;100000,0,1%))&lt;100000,0,S11/(1+IF(S11&lt;100000,0,1%))*1%*5%))))</f>
        <v/>
      </c>
      <c r="AJ11" s="15">
        <f>IF(T11="","",($G11+T11-(IF(T11/(1+IF(T11&lt;100000,0,1%))&lt;100000,0,T11/(1+IF(T11&lt;100000,0,1%))*1%)))*80%-5000*$E11-($H11+(IF(T11/(1+IF(T11&lt;100000,0,1%))&lt;100000,0,T11/(1+IF(T11&lt;100000,0,1%))*1%*5%))))</f>
        <v/>
      </c>
      <c r="AK11" s="15">
        <f>IF(U11="","",($G11+U11-(IF(U11/(1+IF(U11&lt;100000,0,1%))&lt;100000,0,U11/(1+IF(U11&lt;100000,0,1%))*1%)))*80%-5000*$E11-($H11+(IF(U11/(1+IF(U11&lt;100000,0,1%))&lt;100000,0,U11/(1+IF(U11&lt;100000,0,1%))*1%*5%))))</f>
        <v/>
      </c>
      <c r="AL11" s="15">
        <f>IF(V11="","",($G11+V11-(IF(V11/(1+IF(V11&lt;100000,0,1%))&lt;100000,0,V11/(1+IF(V11&lt;100000,0,1%))*1%)))*80%-5000*$E11-($H11+(IF(V11/(1+IF(V11&lt;100000,0,1%))&lt;100000,0,V11/(1+IF(V11&lt;100000,0,1%))*1%*5%))))</f>
        <v/>
      </c>
      <c r="AM11" s="15">
        <f>IF(W11="","",($G11+W11-(IF(W11/(1+IF(W11&lt;100000,0,1%))&lt;100000,0,W11/(1+IF(W11&lt;100000,0,1%))*1%)))*80%-5000*$E11-($H11+(IF(W11/(1+IF(W11&lt;100000,0,1%))&lt;100000,0,W11/(1+IF(W11&lt;100000,0,1%))*1%*5%))))</f>
        <v/>
      </c>
      <c r="AN11" s="15">
        <f>IF(X11="","",($G11+X11-(IF(X11/(1+IF(X11&lt;100000,0,1%))&lt;100000,0,X11/(1+IF(X11&lt;100000,0,1%))*1%)))*80%-5000*$E11-($H11+(IF(X11/(1+IF(X11&lt;100000,0,1%))&lt;100000,0,X11/(1+IF(X11&lt;100000,0,1%))*1%*5%))))</f>
        <v/>
      </c>
      <c r="AO11" s="15">
        <f>IF(Y11="","",($G11+Y11-(IF(Y11/(1+IF(Y11&lt;100000,0,1%))&lt;100000,0,Y11/(1+IF(Y11&lt;100000,0,1%))*1%)))*80%-5000*$E11-($H11+(IF(Y11/(1+IF(Y11&lt;100000,0,1%))&lt;100000,0,Y11/(1+IF(Y11&lt;100000,0,1%))*1%*5%))))</f>
        <v/>
      </c>
      <c r="AP11" s="15">
        <f>IF(Z11="","",MAX(0,Z11*IF(Z11&lt;=36000,3%,IF(Z11&lt;=144000,10%,IF(Z11&lt;=300000,20%,IF(Z11&lt;=420000,25%,IF(Z11&lt;=660000,30%,IF(Z11&lt;=960000,35%,45%))))))-IF(Z11&lt;=36000,0,IF(Z11&lt;=144000,2520,IF(Z11&lt;=300000,16920,IF(Z11&lt;=420000,31920,IF(Z11&lt;=660000,52920,IF(Z11&lt;=960000,85920,181920))))))-$F11))</f>
        <v/>
      </c>
      <c r="AQ11" s="15">
        <f>IF(AA11="","",MAX(0,AA11*IF(AA11&lt;=36000,3%,IF(AA11&lt;=144000,10%,IF(AA11&lt;=300000,20%,IF(AA11&lt;=420000,25%,IF(AA11&lt;=660000,30%,IF(AA11&lt;=960000,35%,45%))))))-IF(AA11&lt;=36000,0,IF(AA11&lt;=144000,2520,IF(AA11&lt;=300000,16920,IF(AA11&lt;=420000,31920,IF(AA11&lt;=660000,52920,IF(AA11&lt;=960000,85920,181920))))))-$F11))</f>
        <v/>
      </c>
      <c r="AR11" s="15">
        <f>IF(AB11="","",MAX(0,AB11*IF(AB11&lt;=36000,3%,IF(AB11&lt;=144000,10%,IF(AB11&lt;=300000,20%,IF(AB11&lt;=420000,25%,IF(AB11&lt;=660000,30%,IF(AB11&lt;=960000,35%,45%))))))-IF(AB11&lt;=36000,0,IF(AB11&lt;=144000,2520,IF(AB11&lt;=300000,16920,IF(AB11&lt;=420000,31920,IF(AB11&lt;=660000,52920,IF(AB11&lt;=960000,85920,181920))))))-$F11))</f>
        <v/>
      </c>
      <c r="AS11" s="15">
        <f>IF(AC11="","",MAX(0,AC11*IF(AC11&lt;=36000,3%,IF(AC11&lt;=144000,10%,IF(AC11&lt;=300000,20%,IF(AC11&lt;=420000,25%,IF(AC11&lt;=660000,30%,IF(AC11&lt;=960000,35%,45%))))))-IF(AC11&lt;=36000,0,IF(AC11&lt;=144000,2520,IF(AC11&lt;=300000,16920,IF(AC11&lt;=420000,31920,IF(AC11&lt;=660000,52920,IF(AC11&lt;=960000,85920,181920))))))-$F11))</f>
        <v/>
      </c>
      <c r="AT11" s="15">
        <f>IF(AD11="","",MAX(0,AD11*IF(AD11&lt;=36000,3%,IF(AD11&lt;=144000,10%,IF(AD11&lt;=300000,20%,IF(AD11&lt;=420000,25%,IF(AD11&lt;=660000,30%,IF(AD11&lt;=960000,35%,45%))))))-IF(AD11&lt;=36000,0,IF(AD11&lt;=144000,2520,IF(AD11&lt;=300000,16920,IF(AD11&lt;=420000,31920,IF(AD11&lt;=660000,52920,IF(AD11&lt;=960000,85920,181920))))))-$F11))</f>
        <v/>
      </c>
      <c r="AU11" s="15">
        <f>IF(AE11="","",MAX(0,AE11*IF(AE11&lt;=36000,3%,IF(AE11&lt;=144000,10%,IF(AE11&lt;=300000,20%,IF(AE11&lt;=420000,25%,IF(AE11&lt;=660000,30%,IF(AE11&lt;=960000,35%,45%))))))-IF(AE11&lt;=36000,0,IF(AE11&lt;=144000,2520,IF(AE11&lt;=300000,16920,IF(AE11&lt;=420000,31920,IF(AE11&lt;=660000,52920,IF(AE11&lt;=960000,85920,181920))))))-$F11))</f>
        <v/>
      </c>
      <c r="AV11" s="15">
        <f>IF(AF11="","",MAX(0,AF11*IF(AF11&lt;=36000,3%,IF(AF11&lt;=144000,10%,IF(AF11&lt;=300000,20%,IF(AF11&lt;=420000,25%,IF(AF11&lt;=660000,30%,IF(AF11&lt;=960000,35%,45%))))))-IF(AF11&lt;=36000,0,IF(AF11&lt;=144000,2520,IF(AF11&lt;=300000,16920,IF(AF11&lt;=420000,31920,IF(AF11&lt;=660000,52920,IF(AF11&lt;=960000,85920,181920))))))-$F11))</f>
        <v/>
      </c>
      <c r="AW11" s="15">
        <f>IF(AG11="","",MAX(0,AG11*IF(AG11&lt;=36000,3%,IF(AG11&lt;=144000,10%,IF(AG11&lt;=300000,20%,IF(AG11&lt;=420000,25%,IF(AG11&lt;=660000,30%,IF(AG11&lt;=960000,35%,45%))))))-IF(AG11&lt;=36000,0,IF(AG11&lt;=144000,2520,IF(AG11&lt;=300000,16920,IF(AG11&lt;=420000,31920,IF(AG11&lt;=660000,52920,IF(AG11&lt;=960000,85920,181920))))))-$F11))</f>
        <v/>
      </c>
      <c r="AX11" s="15">
        <f>IF(AH11="","",MAX(0,AH11*IF(AH11&lt;=36000,3%,IF(AH11&lt;=144000,10%,IF(AH11&lt;=300000,20%,IF(AH11&lt;=420000,25%,IF(AH11&lt;=660000,30%,IF(AH11&lt;=960000,35%,45%))))))-IF(AH11&lt;=36000,0,IF(AH11&lt;=144000,2520,IF(AH11&lt;=300000,16920,IF(AH11&lt;=420000,31920,IF(AH11&lt;=660000,52920,IF(AH11&lt;=960000,85920,181920))))))-$F11))</f>
        <v/>
      </c>
      <c r="AY11" s="15">
        <f>IF(AI11="","",MAX(0,AI11*IF(AI11&lt;=36000,3%,IF(AI11&lt;=144000,10%,IF(AI11&lt;=300000,20%,IF(AI11&lt;=420000,25%,IF(AI11&lt;=660000,30%,IF(AI11&lt;=960000,35%,45%))))))-IF(AI11&lt;=36000,0,IF(AI11&lt;=144000,2520,IF(AI11&lt;=300000,16920,IF(AI11&lt;=420000,31920,IF(AI11&lt;=660000,52920,IF(AI11&lt;=960000,85920,181920))))))-$F11))</f>
        <v/>
      </c>
      <c r="AZ11" s="15">
        <f>IF(AJ11="","",MAX(0,AJ11*IF(AJ11&lt;=36000,3%,IF(AJ11&lt;=144000,10%,IF(AJ11&lt;=300000,20%,IF(AJ11&lt;=420000,25%,IF(AJ11&lt;=660000,30%,IF(AJ11&lt;=960000,35%,45%))))))-IF(AJ11&lt;=36000,0,IF(AJ11&lt;=144000,2520,IF(AJ11&lt;=300000,16920,IF(AJ11&lt;=420000,31920,IF(AJ11&lt;=660000,52920,IF(AJ11&lt;=960000,85920,181920))))))-$F11))</f>
        <v/>
      </c>
      <c r="BA11" s="15">
        <f>IF(AK11="","",MAX(0,AK11*IF(AK11&lt;=36000,3%,IF(AK11&lt;=144000,10%,IF(AK11&lt;=300000,20%,IF(AK11&lt;=420000,25%,IF(AK11&lt;=660000,30%,IF(AK11&lt;=960000,35%,45%))))))-IF(AK11&lt;=36000,0,IF(AK11&lt;=144000,2520,IF(AK11&lt;=300000,16920,IF(AK11&lt;=420000,31920,IF(AK11&lt;=660000,52920,IF(AK11&lt;=960000,85920,181920))))))-$F11))</f>
        <v/>
      </c>
      <c r="BB11" s="15">
        <f>IF(AL11="","",MAX(0,AL11*IF(AL11&lt;=36000,3%,IF(AL11&lt;=144000,10%,IF(AL11&lt;=300000,20%,IF(AL11&lt;=420000,25%,IF(AL11&lt;=660000,30%,IF(AL11&lt;=960000,35%,45%))))))-IF(AL11&lt;=36000,0,IF(AL11&lt;=144000,2520,IF(AL11&lt;=300000,16920,IF(AL11&lt;=420000,31920,IF(AL11&lt;=660000,52920,IF(AL11&lt;=960000,85920,181920))))))-$F11))</f>
        <v/>
      </c>
      <c r="BC11" s="15">
        <f>IF(AM11="","",MAX(0,AM11*IF(AM11&lt;=36000,3%,IF(AM11&lt;=144000,10%,IF(AM11&lt;=300000,20%,IF(AM11&lt;=420000,25%,IF(AM11&lt;=660000,30%,IF(AM11&lt;=960000,35%,45%))))))-IF(AM11&lt;=36000,0,IF(AM11&lt;=144000,2520,IF(AM11&lt;=300000,16920,IF(AM11&lt;=420000,31920,IF(AM11&lt;=660000,52920,IF(AM11&lt;=960000,85920,181920))))))-$F11))</f>
        <v/>
      </c>
      <c r="BD11" s="15">
        <f>IF(AN11="","",MAX(0,AN11*IF(AN11&lt;=36000,3%,IF(AN11&lt;=144000,10%,IF(AN11&lt;=300000,20%,IF(AN11&lt;=420000,25%,IF(AN11&lt;=660000,30%,IF(AN11&lt;=960000,35%,45%))))))-IF(AN11&lt;=36000,0,IF(AN11&lt;=144000,2520,IF(AN11&lt;=300000,16920,IF(AN11&lt;=420000,31920,IF(AN11&lt;=660000,52920,IF(AN11&lt;=960000,85920,181920))))))-$F11))</f>
        <v/>
      </c>
      <c r="BE11" s="15">
        <f>IF(AO11="","",MAX(0,AO11*IF(AO11&lt;=36000,3%,IF(AO11&lt;=144000,10%,IF(AO11&lt;=300000,20%,IF(AO11&lt;=420000,25%,IF(AO11&lt;=660000,30%,IF(AO11&lt;=960000,35%,45%))))))-IF(AO11&lt;=36000,0,IF(AO11&lt;=144000,2520,IF(AO11&lt;=300000,16920,IF(AO11&lt;=420000,31920,IF(AO11&lt;=660000,52920,IF(AO11&lt;=960000,85920,181920))))))-$F11))</f>
        <v/>
      </c>
      <c r="BF11" s="15">
        <f>IF(J11="","",J11-(IF(J11/(1+IF(J11&lt;100000,0,1%))&lt;100000,0,J11/(1+IF(J11&lt;100000,0,1%))*1%))-(IF(J11/(1+IF(J11&lt;100000,0,1%))&lt;100000,0,J11/(1+IF(J11&lt;100000,0,1%))*1%*5%))-AP11)</f>
        <v/>
      </c>
      <c r="BG11" s="15">
        <f>IF(K11="","",K11-(IF(K11/(1+IF(K11&lt;100000,0,1%))&lt;100000,0,K11/(1+IF(K11&lt;100000,0,1%))*1%))-(IF(K11/(1+IF(K11&lt;100000,0,1%))&lt;100000,0,K11/(1+IF(K11&lt;100000,0,1%))*1%*5%))-AQ11)</f>
        <v/>
      </c>
      <c r="BH11" s="15">
        <f>IF(L11="","",L11-(IF(L11/(1+IF(L11&lt;100000,0,1%))&lt;100000,0,L11/(1+IF(L11&lt;100000,0,1%))*1%))-(IF(L11/(1+IF(L11&lt;100000,0,1%))&lt;100000,0,L11/(1+IF(L11&lt;100000,0,1%))*1%*5%))-AR11)</f>
        <v/>
      </c>
      <c r="BI11" s="15">
        <f>IF(M11="","",M11-(IF(M11/(1+IF(M11&lt;100000,0,1%))&lt;100000,0,M11/(1+IF(M11&lt;100000,0,1%))*1%))-(IF(M11/(1+IF(M11&lt;100000,0,1%))&lt;100000,0,M11/(1+IF(M11&lt;100000,0,1%))*1%*5%))-AS11)</f>
        <v/>
      </c>
      <c r="BJ11" s="15">
        <f>IF(N11="","",N11-(IF(N11/(1+IF(N11&lt;100000,0,1%))&lt;100000,0,N11/(1+IF(N11&lt;100000,0,1%))*1%))-(IF(N11/(1+IF(N11&lt;100000,0,1%))&lt;100000,0,N11/(1+IF(N11&lt;100000,0,1%))*1%*5%))-AT11)</f>
        <v/>
      </c>
      <c r="BK11" s="15">
        <f>IF(O11="","",O11-(IF(O11/(1+IF(O11&lt;100000,0,1%))&lt;100000,0,O11/(1+IF(O11&lt;100000,0,1%))*1%))-(IF(O11/(1+IF(O11&lt;100000,0,1%))&lt;100000,0,O11/(1+IF(O11&lt;100000,0,1%))*1%*5%))-AU11)</f>
        <v/>
      </c>
      <c r="BL11" s="15">
        <f>IF(P11="","",P11-(IF(P11/(1+IF(P11&lt;100000,0,1%))&lt;100000,0,P11/(1+IF(P11&lt;100000,0,1%))*1%))-(IF(P11/(1+IF(P11&lt;100000,0,1%))&lt;100000,0,P11/(1+IF(P11&lt;100000,0,1%))*1%*5%))-AV11)</f>
        <v/>
      </c>
      <c r="BM11" s="15">
        <f>IF(Q11="","",Q11-(IF(Q11/(1+IF(Q11&lt;100000,0,1%))&lt;100000,0,Q11/(1+IF(Q11&lt;100000,0,1%))*1%))-(IF(Q11/(1+IF(Q11&lt;100000,0,1%))&lt;100000,0,Q11/(1+IF(Q11&lt;100000,0,1%))*1%*5%))-AW11)</f>
        <v/>
      </c>
      <c r="BN11" s="15">
        <f>IF(R11="","",R11-(IF(R11/(1+IF(R11&lt;100000,0,1%))&lt;100000,0,R11/(1+IF(R11&lt;100000,0,1%))*1%))-(IF(R11/(1+IF(R11&lt;100000,0,1%))&lt;100000,0,R11/(1+IF(R11&lt;100000,0,1%))*1%*5%))-AX11)</f>
        <v/>
      </c>
      <c r="BO11" s="15">
        <f>IF(S11="","",S11-(IF(S11/(1+IF(S11&lt;100000,0,1%))&lt;100000,0,S11/(1+IF(S11&lt;100000,0,1%))*1%))-(IF(S11/(1+IF(S11&lt;100000,0,1%))&lt;100000,0,S11/(1+IF(S11&lt;100000,0,1%))*1%*5%))-AY11)</f>
        <v/>
      </c>
      <c r="BP11" s="15">
        <f>IF(T11="","",T11-(IF(T11/(1+IF(T11&lt;100000,0,1%))&lt;100000,0,T11/(1+IF(T11&lt;100000,0,1%))*1%))-(IF(T11/(1+IF(T11&lt;100000,0,1%))&lt;100000,0,T11/(1+IF(T11&lt;100000,0,1%))*1%*5%))-AZ11)</f>
        <v/>
      </c>
      <c r="BQ11" s="15">
        <f>IF(U11="","",U11-(IF(U11/(1+IF(U11&lt;100000,0,1%))&lt;100000,0,U11/(1+IF(U11&lt;100000,0,1%))*1%))-(IF(U11/(1+IF(U11&lt;100000,0,1%))&lt;100000,0,U11/(1+IF(U11&lt;100000,0,1%))*1%*5%))-BA11)</f>
        <v/>
      </c>
      <c r="BR11" s="15">
        <f>IF(V11="","",V11-(IF(V11/(1+IF(V11&lt;100000,0,1%))&lt;100000,0,V11/(1+IF(V11&lt;100000,0,1%))*1%))-(IF(V11/(1+IF(V11&lt;100000,0,1%))&lt;100000,0,V11/(1+IF(V11&lt;100000,0,1%))*1%*5%))-BB11)</f>
        <v/>
      </c>
      <c r="BS11" s="15">
        <f>IF(W11="","",W11-(IF(W11/(1+IF(W11&lt;100000,0,1%))&lt;100000,0,W11/(1+IF(W11&lt;100000,0,1%))*1%))-(IF(W11/(1+IF(W11&lt;100000,0,1%))&lt;100000,0,W11/(1+IF(W11&lt;100000,0,1%))*1%*5%))-BC11)</f>
        <v/>
      </c>
      <c r="BT11" s="15">
        <f>IF(X11="","",X11-(IF(X11/(1+IF(X11&lt;100000,0,1%))&lt;100000,0,X11/(1+IF(X11&lt;100000,0,1%))*1%))-(IF(X11/(1+IF(X11&lt;100000,0,1%))&lt;100000,0,X11/(1+IF(X11&lt;100000,0,1%))*1%*5%))-BD11)</f>
        <v/>
      </c>
      <c r="BU11" s="15">
        <f>IF(Y11="","",Y11-(IF(Y11/(1+IF(Y11&lt;100000,0,1%))&lt;100000,0,Y11/(1+IF(Y11&lt;100000,0,1%))*1%))-(IF(Y11/(1+IF(Y11&lt;100000,0,1%))&lt;100000,0,Y11/(1+IF(Y11&lt;100000,0,1%))*1%*5%))-BE11)</f>
        <v/>
      </c>
      <c r="BV11" s="15">
        <f>IF(BF11="","",ABS(BF11-$B11))</f>
        <v/>
      </c>
      <c r="BW11" s="15">
        <f>IF(BG11="","",ABS(BG11-$B11))</f>
        <v/>
      </c>
      <c r="BX11" s="15">
        <f>IF(BH11="","",ABS(BH11-$B11))</f>
        <v/>
      </c>
      <c r="BY11" s="15">
        <f>IF(BI11="","",ABS(BI11-$B11))</f>
        <v/>
      </c>
      <c r="BZ11" s="15">
        <f>IF(BJ11="","",ABS(BJ11-$B11))</f>
        <v/>
      </c>
      <c r="CA11" s="15">
        <f>IF(BK11="","",ABS(BK11-$B11))</f>
        <v/>
      </c>
      <c r="CB11" s="15">
        <f>IF(BL11="","",ABS(BL11-$B11))</f>
        <v/>
      </c>
      <c r="CC11" s="15">
        <f>IF(BM11="","",ABS(BM11-$B11))</f>
        <v/>
      </c>
      <c r="CD11" s="15">
        <f>IF(BN11="","",ABS(BN11-$B11))</f>
        <v/>
      </c>
      <c r="CE11" s="15">
        <f>IF(BO11="","",ABS(BO11-$B11))</f>
        <v/>
      </c>
      <c r="CF11" s="15">
        <f>IF(BP11="","",ABS(BP11-$B11))</f>
        <v/>
      </c>
      <c r="CG11" s="15">
        <f>IF(BQ11="","",ABS(BQ11-$B11))</f>
        <v/>
      </c>
      <c r="CH11" s="15">
        <f>IF(BR11="","",ABS(BR11-$B11))</f>
        <v/>
      </c>
      <c r="CI11" s="15">
        <f>IF(BS11="","",ABS(BS11-$B11))</f>
        <v/>
      </c>
      <c r="CJ11" s="15">
        <f>IF(BT11="","",ABS(BT11-$B11))</f>
        <v/>
      </c>
      <c r="CK11" s="15">
        <f>IF(BU11="","",ABS(BU11-$B11))</f>
        <v/>
      </c>
      <c r="CL11" s="14">
        <f>IF(J11="","",AND(J11&gt;0,J11&lt;101000,BV11&lt;0.05,AP11=0))</f>
        <v/>
      </c>
      <c r="CM11" s="14">
        <f>IF(K11="","",AND(K11&gt;0,K11&gt;=101000,BW11&lt;0.05,AQ11=0))</f>
        <v/>
      </c>
      <c r="CN11" s="14">
        <f>IF(L11="","",AND(L11&gt;0,L11&lt;101000,BX11&lt;0.05,AR11&gt;0))</f>
        <v/>
      </c>
      <c r="CO11" s="14">
        <f>IF(M11="","",AND(M11&gt;0,M11&lt;101000,BY11&lt;0.05,AS11&gt;0))</f>
        <v/>
      </c>
      <c r="CP11" s="14">
        <f>IF(N11="","",AND(N11&gt;0,N11&lt;101000,BZ11&lt;0.05,AT11&gt;0))</f>
        <v/>
      </c>
      <c r="CQ11" s="14">
        <f>IF(O11="","",AND(O11&gt;0,O11&lt;101000,CA11&lt;0.05,AU11&gt;0))</f>
        <v/>
      </c>
      <c r="CR11" s="14">
        <f>IF(P11="","",AND(P11&gt;0,P11&lt;101000,CB11&lt;0.05,AV11&gt;0))</f>
        <v/>
      </c>
      <c r="CS11" s="14">
        <f>IF(Q11="","",AND(Q11&gt;0,Q11&lt;101000,CC11&lt;0.05,AW11&gt;0))</f>
        <v/>
      </c>
      <c r="CT11" s="14">
        <f>IF(R11="","",AND(R11&gt;0,R11&lt;101000,CD11&lt;0.05,AX11&gt;0))</f>
        <v/>
      </c>
      <c r="CU11" s="14">
        <f>IF(S11="","",AND(S11&gt;0,S11&gt;=101000,CE11&lt;0.05,AY11&gt;0))</f>
        <v/>
      </c>
      <c r="CV11" s="14">
        <f>IF(T11="","",AND(T11&gt;0,T11&gt;=101000,CF11&lt;0.05,AZ11&gt;0))</f>
        <v/>
      </c>
      <c r="CW11" s="14">
        <f>IF(U11="","",AND(U11&gt;0,U11&gt;=101000,CG11&lt;0.05,BA11&gt;0))</f>
        <v/>
      </c>
      <c r="CX11" s="14">
        <f>IF(V11="","",AND(V11&gt;0,V11&gt;=101000,CH11&lt;0.05,BB11&gt;0))</f>
        <v/>
      </c>
      <c r="CY11" s="14">
        <f>IF(W11="","",AND(W11&gt;0,W11&gt;=101000,CI11&lt;0.05,BC11&gt;0))</f>
        <v/>
      </c>
      <c r="CZ11" s="14">
        <f>IF(X11="","",AND(X11&gt;0,X11&gt;=101000,CJ11&lt;0.05,BD11&gt;0))</f>
        <v/>
      </c>
      <c r="DA11" s="14">
        <f>IF(Y11="","",AND(Y11&gt;0,Y11&gt;=101000,CK11&lt;0.05,BE11&gt;0))</f>
        <v/>
      </c>
      <c r="DB11" s="14">
        <f>IFERROR(MATCH(TRUE,CL11:DA11,0),"")</f>
        <v/>
      </c>
      <c r="DC11" s="15">
        <f>IF(DB11="","",INDEX(J11:Y11,DB11))</f>
        <v/>
      </c>
      <c r="DD11" s="15">
        <f>IF(DB11="","",INDEX(BF11:BU11,DB11))</f>
        <v/>
      </c>
    </row>
    <row r="12">
      <c r="A12" s="14" t="n">
        <v>11</v>
      </c>
      <c r="B12" s="15">
        <f>'月度计算'!C15</f>
        <v/>
      </c>
      <c r="C12" s="14">
        <f>'月度计算'!D15</f>
        <v/>
      </c>
      <c r="D12" s="15">
        <f>'月度计算'!B15</f>
        <v/>
      </c>
      <c r="E12" s="14">
        <f>'月度计算'!E15</f>
        <v/>
      </c>
      <c r="F12" s="15">
        <f>'月度计算'!F15</f>
        <v/>
      </c>
      <c r="G12" s="15">
        <f>'月度计算'!AB15</f>
        <v/>
      </c>
      <c r="H12" s="15">
        <f>'月度计算'!AC15</f>
        <v/>
      </c>
      <c r="I12" s="15">
        <f>IF(C12=0,"",G12*80%-5000*E12-H12)</f>
        <v/>
      </c>
      <c r="J12" s="15">
        <f>IF(OR($C12=0,$B12="",$D12&lt;&gt;""),"",$B12/(1-(0)))</f>
        <v/>
      </c>
      <c r="K12" s="15">
        <f>IF(OR($C12=0,$B12="",$D12&lt;&gt;""),"",$B12/(1-(21/2020)))</f>
        <v/>
      </c>
      <c r="L12" s="15">
        <f>IF(OR($C12=0,$B12="",$D12&lt;&gt;""),"",($B12-0-$F12+$I12*0.03)/(1-(0)-(0.8)*0.03))</f>
        <v/>
      </c>
      <c r="M12" s="15">
        <f>IF(OR($C12=0,$B12="",$D12&lt;&gt;""),"",($B12-2520-$F12+$I12*0.1)/(1-(0)-(0.8)*0.1))</f>
        <v/>
      </c>
      <c r="N12" s="15">
        <f>IF(OR($C12=0,$B12="",$D12&lt;&gt;""),"",($B12-16920-$F12+$I12*0.2)/(1-(0)-(0.8)*0.2))</f>
        <v/>
      </c>
      <c r="O12" s="15">
        <f>IF(OR($C12=0,$B12="",$D12&lt;&gt;""),"",($B12-31920-$F12+$I12*0.25)/(1-(0)-(0.8)*0.25))</f>
        <v/>
      </c>
      <c r="P12" s="15">
        <f>IF(OR($C12=0,$B12="",$D12&lt;&gt;""),"",($B12-52920-$F12+$I12*0.3)/(1-(0)-(0.8)*0.3))</f>
        <v/>
      </c>
      <c r="Q12" s="15">
        <f>IF(OR($C12=0,$B12="",$D12&lt;&gt;""),"",($B12-85920-$F12+$I12*0.35)/(1-(0)-(0.8)*0.35))</f>
        <v/>
      </c>
      <c r="R12" s="15">
        <f>IF(OR($C12=0,$B12="",$D12&lt;&gt;""),"",($B12-181920-$F12+$I12*0.45)/(1-(0)-(0.8)*0.45))</f>
        <v/>
      </c>
      <c r="S12" s="15">
        <f>IF(OR($C12=0,$B12="",$D12&lt;&gt;""),"",($B12-0-$F12+$I12*0.03)/(1-(21/2020)-(1599/2020)*0.03))</f>
        <v/>
      </c>
      <c r="T12" s="15">
        <f>IF(OR($C12=0,$B12="",$D12&lt;&gt;""),"",($B12-2520-$F12+$I12*0.1)/(1-(21/2020)-(1599/2020)*0.1))</f>
        <v/>
      </c>
      <c r="U12" s="15">
        <f>IF(OR($C12=0,$B12="",$D12&lt;&gt;""),"",($B12-16920-$F12+$I12*0.2)/(1-(21/2020)-(1599/2020)*0.2))</f>
        <v/>
      </c>
      <c r="V12" s="15">
        <f>IF(OR($C12=0,$B12="",$D12&lt;&gt;""),"",($B12-31920-$F12+$I12*0.25)/(1-(21/2020)-(1599/2020)*0.25))</f>
        <v/>
      </c>
      <c r="W12" s="15">
        <f>IF(OR($C12=0,$B12="",$D12&lt;&gt;""),"",($B12-52920-$F12+$I12*0.3)/(1-(21/2020)-(1599/2020)*0.3))</f>
        <v/>
      </c>
      <c r="X12" s="15">
        <f>IF(OR($C12=0,$B12="",$D12&lt;&gt;""),"",($B12-85920-$F12+$I12*0.35)/(1-(21/2020)-(1599/2020)*0.35))</f>
        <v/>
      </c>
      <c r="Y12" s="15">
        <f>IF(OR($C12=0,$B12="",$D12&lt;&gt;""),"",($B12-181920-$F12+$I12*0.45)/(1-(21/2020)-(1599/2020)*0.45))</f>
        <v/>
      </c>
      <c r="Z12" s="15">
        <f>IF(J12="","",($G12+J12-(IF(J12/(1+IF(J12&lt;100000,0,1%))&lt;100000,0,J12/(1+IF(J12&lt;100000,0,1%))*1%)))*80%-5000*$E12-($H12+(IF(J12/(1+IF(J12&lt;100000,0,1%))&lt;100000,0,J12/(1+IF(J12&lt;100000,0,1%))*1%*5%))))</f>
        <v/>
      </c>
      <c r="AA12" s="15">
        <f>IF(K12="","",($G12+K12-(IF(K12/(1+IF(K12&lt;100000,0,1%))&lt;100000,0,K12/(1+IF(K12&lt;100000,0,1%))*1%)))*80%-5000*$E12-($H12+(IF(K12/(1+IF(K12&lt;100000,0,1%))&lt;100000,0,K12/(1+IF(K12&lt;100000,0,1%))*1%*5%))))</f>
        <v/>
      </c>
      <c r="AB12" s="15">
        <f>IF(L12="","",($G12+L12-(IF(L12/(1+IF(L12&lt;100000,0,1%))&lt;100000,0,L12/(1+IF(L12&lt;100000,0,1%))*1%)))*80%-5000*$E12-($H12+(IF(L12/(1+IF(L12&lt;100000,0,1%))&lt;100000,0,L12/(1+IF(L12&lt;100000,0,1%))*1%*5%))))</f>
        <v/>
      </c>
      <c r="AC12" s="15">
        <f>IF(M12="","",($G12+M12-(IF(M12/(1+IF(M12&lt;100000,0,1%))&lt;100000,0,M12/(1+IF(M12&lt;100000,0,1%))*1%)))*80%-5000*$E12-($H12+(IF(M12/(1+IF(M12&lt;100000,0,1%))&lt;100000,0,M12/(1+IF(M12&lt;100000,0,1%))*1%*5%))))</f>
        <v/>
      </c>
      <c r="AD12" s="15">
        <f>IF(N12="","",($G12+N12-(IF(N12/(1+IF(N12&lt;100000,0,1%))&lt;100000,0,N12/(1+IF(N12&lt;100000,0,1%))*1%)))*80%-5000*$E12-($H12+(IF(N12/(1+IF(N12&lt;100000,0,1%))&lt;100000,0,N12/(1+IF(N12&lt;100000,0,1%))*1%*5%))))</f>
        <v/>
      </c>
      <c r="AE12" s="15">
        <f>IF(O12="","",($G12+O12-(IF(O12/(1+IF(O12&lt;100000,0,1%))&lt;100000,0,O12/(1+IF(O12&lt;100000,0,1%))*1%)))*80%-5000*$E12-($H12+(IF(O12/(1+IF(O12&lt;100000,0,1%))&lt;100000,0,O12/(1+IF(O12&lt;100000,0,1%))*1%*5%))))</f>
        <v/>
      </c>
      <c r="AF12" s="15">
        <f>IF(P12="","",($G12+P12-(IF(P12/(1+IF(P12&lt;100000,0,1%))&lt;100000,0,P12/(1+IF(P12&lt;100000,0,1%))*1%)))*80%-5000*$E12-($H12+(IF(P12/(1+IF(P12&lt;100000,0,1%))&lt;100000,0,P12/(1+IF(P12&lt;100000,0,1%))*1%*5%))))</f>
        <v/>
      </c>
      <c r="AG12" s="15">
        <f>IF(Q12="","",($G12+Q12-(IF(Q12/(1+IF(Q12&lt;100000,0,1%))&lt;100000,0,Q12/(1+IF(Q12&lt;100000,0,1%))*1%)))*80%-5000*$E12-($H12+(IF(Q12/(1+IF(Q12&lt;100000,0,1%))&lt;100000,0,Q12/(1+IF(Q12&lt;100000,0,1%))*1%*5%))))</f>
        <v/>
      </c>
      <c r="AH12" s="15">
        <f>IF(R12="","",($G12+R12-(IF(R12/(1+IF(R12&lt;100000,0,1%))&lt;100000,0,R12/(1+IF(R12&lt;100000,0,1%))*1%)))*80%-5000*$E12-($H12+(IF(R12/(1+IF(R12&lt;100000,0,1%))&lt;100000,0,R12/(1+IF(R12&lt;100000,0,1%))*1%*5%))))</f>
        <v/>
      </c>
      <c r="AI12" s="15">
        <f>IF(S12="","",($G12+S12-(IF(S12/(1+IF(S12&lt;100000,0,1%))&lt;100000,0,S12/(1+IF(S12&lt;100000,0,1%))*1%)))*80%-5000*$E12-($H12+(IF(S12/(1+IF(S12&lt;100000,0,1%))&lt;100000,0,S12/(1+IF(S12&lt;100000,0,1%))*1%*5%))))</f>
        <v/>
      </c>
      <c r="AJ12" s="15">
        <f>IF(T12="","",($G12+T12-(IF(T12/(1+IF(T12&lt;100000,0,1%))&lt;100000,0,T12/(1+IF(T12&lt;100000,0,1%))*1%)))*80%-5000*$E12-($H12+(IF(T12/(1+IF(T12&lt;100000,0,1%))&lt;100000,0,T12/(1+IF(T12&lt;100000,0,1%))*1%*5%))))</f>
        <v/>
      </c>
      <c r="AK12" s="15">
        <f>IF(U12="","",($G12+U12-(IF(U12/(1+IF(U12&lt;100000,0,1%))&lt;100000,0,U12/(1+IF(U12&lt;100000,0,1%))*1%)))*80%-5000*$E12-($H12+(IF(U12/(1+IF(U12&lt;100000,0,1%))&lt;100000,0,U12/(1+IF(U12&lt;100000,0,1%))*1%*5%))))</f>
        <v/>
      </c>
      <c r="AL12" s="15">
        <f>IF(V12="","",($G12+V12-(IF(V12/(1+IF(V12&lt;100000,0,1%))&lt;100000,0,V12/(1+IF(V12&lt;100000,0,1%))*1%)))*80%-5000*$E12-($H12+(IF(V12/(1+IF(V12&lt;100000,0,1%))&lt;100000,0,V12/(1+IF(V12&lt;100000,0,1%))*1%*5%))))</f>
        <v/>
      </c>
      <c r="AM12" s="15">
        <f>IF(W12="","",($G12+W12-(IF(W12/(1+IF(W12&lt;100000,0,1%))&lt;100000,0,W12/(1+IF(W12&lt;100000,0,1%))*1%)))*80%-5000*$E12-($H12+(IF(W12/(1+IF(W12&lt;100000,0,1%))&lt;100000,0,W12/(1+IF(W12&lt;100000,0,1%))*1%*5%))))</f>
        <v/>
      </c>
      <c r="AN12" s="15">
        <f>IF(X12="","",($G12+X12-(IF(X12/(1+IF(X12&lt;100000,0,1%))&lt;100000,0,X12/(1+IF(X12&lt;100000,0,1%))*1%)))*80%-5000*$E12-($H12+(IF(X12/(1+IF(X12&lt;100000,0,1%))&lt;100000,0,X12/(1+IF(X12&lt;100000,0,1%))*1%*5%))))</f>
        <v/>
      </c>
      <c r="AO12" s="15">
        <f>IF(Y12="","",($G12+Y12-(IF(Y12/(1+IF(Y12&lt;100000,0,1%))&lt;100000,0,Y12/(1+IF(Y12&lt;100000,0,1%))*1%)))*80%-5000*$E12-($H12+(IF(Y12/(1+IF(Y12&lt;100000,0,1%))&lt;100000,0,Y12/(1+IF(Y12&lt;100000,0,1%))*1%*5%))))</f>
        <v/>
      </c>
      <c r="AP12" s="15">
        <f>IF(Z12="","",MAX(0,Z12*IF(Z12&lt;=36000,3%,IF(Z12&lt;=144000,10%,IF(Z12&lt;=300000,20%,IF(Z12&lt;=420000,25%,IF(Z12&lt;=660000,30%,IF(Z12&lt;=960000,35%,45%))))))-IF(Z12&lt;=36000,0,IF(Z12&lt;=144000,2520,IF(Z12&lt;=300000,16920,IF(Z12&lt;=420000,31920,IF(Z12&lt;=660000,52920,IF(Z12&lt;=960000,85920,181920))))))-$F12))</f>
        <v/>
      </c>
      <c r="AQ12" s="15">
        <f>IF(AA12="","",MAX(0,AA12*IF(AA12&lt;=36000,3%,IF(AA12&lt;=144000,10%,IF(AA12&lt;=300000,20%,IF(AA12&lt;=420000,25%,IF(AA12&lt;=660000,30%,IF(AA12&lt;=960000,35%,45%))))))-IF(AA12&lt;=36000,0,IF(AA12&lt;=144000,2520,IF(AA12&lt;=300000,16920,IF(AA12&lt;=420000,31920,IF(AA12&lt;=660000,52920,IF(AA12&lt;=960000,85920,181920))))))-$F12))</f>
        <v/>
      </c>
      <c r="AR12" s="15">
        <f>IF(AB12="","",MAX(0,AB12*IF(AB12&lt;=36000,3%,IF(AB12&lt;=144000,10%,IF(AB12&lt;=300000,20%,IF(AB12&lt;=420000,25%,IF(AB12&lt;=660000,30%,IF(AB12&lt;=960000,35%,45%))))))-IF(AB12&lt;=36000,0,IF(AB12&lt;=144000,2520,IF(AB12&lt;=300000,16920,IF(AB12&lt;=420000,31920,IF(AB12&lt;=660000,52920,IF(AB12&lt;=960000,85920,181920))))))-$F12))</f>
        <v/>
      </c>
      <c r="AS12" s="15">
        <f>IF(AC12="","",MAX(0,AC12*IF(AC12&lt;=36000,3%,IF(AC12&lt;=144000,10%,IF(AC12&lt;=300000,20%,IF(AC12&lt;=420000,25%,IF(AC12&lt;=660000,30%,IF(AC12&lt;=960000,35%,45%))))))-IF(AC12&lt;=36000,0,IF(AC12&lt;=144000,2520,IF(AC12&lt;=300000,16920,IF(AC12&lt;=420000,31920,IF(AC12&lt;=660000,52920,IF(AC12&lt;=960000,85920,181920))))))-$F12))</f>
        <v/>
      </c>
      <c r="AT12" s="15">
        <f>IF(AD12="","",MAX(0,AD12*IF(AD12&lt;=36000,3%,IF(AD12&lt;=144000,10%,IF(AD12&lt;=300000,20%,IF(AD12&lt;=420000,25%,IF(AD12&lt;=660000,30%,IF(AD12&lt;=960000,35%,45%))))))-IF(AD12&lt;=36000,0,IF(AD12&lt;=144000,2520,IF(AD12&lt;=300000,16920,IF(AD12&lt;=420000,31920,IF(AD12&lt;=660000,52920,IF(AD12&lt;=960000,85920,181920))))))-$F12))</f>
        <v/>
      </c>
      <c r="AU12" s="15">
        <f>IF(AE12="","",MAX(0,AE12*IF(AE12&lt;=36000,3%,IF(AE12&lt;=144000,10%,IF(AE12&lt;=300000,20%,IF(AE12&lt;=420000,25%,IF(AE12&lt;=660000,30%,IF(AE12&lt;=960000,35%,45%))))))-IF(AE12&lt;=36000,0,IF(AE12&lt;=144000,2520,IF(AE12&lt;=300000,16920,IF(AE12&lt;=420000,31920,IF(AE12&lt;=660000,52920,IF(AE12&lt;=960000,85920,181920))))))-$F12))</f>
        <v/>
      </c>
      <c r="AV12" s="15">
        <f>IF(AF12="","",MAX(0,AF12*IF(AF12&lt;=36000,3%,IF(AF12&lt;=144000,10%,IF(AF12&lt;=300000,20%,IF(AF12&lt;=420000,25%,IF(AF12&lt;=660000,30%,IF(AF12&lt;=960000,35%,45%))))))-IF(AF12&lt;=36000,0,IF(AF12&lt;=144000,2520,IF(AF12&lt;=300000,16920,IF(AF12&lt;=420000,31920,IF(AF12&lt;=660000,52920,IF(AF12&lt;=960000,85920,181920))))))-$F12))</f>
        <v/>
      </c>
      <c r="AW12" s="15">
        <f>IF(AG12="","",MAX(0,AG12*IF(AG12&lt;=36000,3%,IF(AG12&lt;=144000,10%,IF(AG12&lt;=300000,20%,IF(AG12&lt;=420000,25%,IF(AG12&lt;=660000,30%,IF(AG12&lt;=960000,35%,45%))))))-IF(AG12&lt;=36000,0,IF(AG12&lt;=144000,2520,IF(AG12&lt;=300000,16920,IF(AG12&lt;=420000,31920,IF(AG12&lt;=660000,52920,IF(AG12&lt;=960000,85920,181920))))))-$F12))</f>
        <v/>
      </c>
      <c r="AX12" s="15">
        <f>IF(AH12="","",MAX(0,AH12*IF(AH12&lt;=36000,3%,IF(AH12&lt;=144000,10%,IF(AH12&lt;=300000,20%,IF(AH12&lt;=420000,25%,IF(AH12&lt;=660000,30%,IF(AH12&lt;=960000,35%,45%))))))-IF(AH12&lt;=36000,0,IF(AH12&lt;=144000,2520,IF(AH12&lt;=300000,16920,IF(AH12&lt;=420000,31920,IF(AH12&lt;=660000,52920,IF(AH12&lt;=960000,85920,181920))))))-$F12))</f>
        <v/>
      </c>
      <c r="AY12" s="15">
        <f>IF(AI12="","",MAX(0,AI12*IF(AI12&lt;=36000,3%,IF(AI12&lt;=144000,10%,IF(AI12&lt;=300000,20%,IF(AI12&lt;=420000,25%,IF(AI12&lt;=660000,30%,IF(AI12&lt;=960000,35%,45%))))))-IF(AI12&lt;=36000,0,IF(AI12&lt;=144000,2520,IF(AI12&lt;=300000,16920,IF(AI12&lt;=420000,31920,IF(AI12&lt;=660000,52920,IF(AI12&lt;=960000,85920,181920))))))-$F12))</f>
        <v/>
      </c>
      <c r="AZ12" s="15">
        <f>IF(AJ12="","",MAX(0,AJ12*IF(AJ12&lt;=36000,3%,IF(AJ12&lt;=144000,10%,IF(AJ12&lt;=300000,20%,IF(AJ12&lt;=420000,25%,IF(AJ12&lt;=660000,30%,IF(AJ12&lt;=960000,35%,45%))))))-IF(AJ12&lt;=36000,0,IF(AJ12&lt;=144000,2520,IF(AJ12&lt;=300000,16920,IF(AJ12&lt;=420000,31920,IF(AJ12&lt;=660000,52920,IF(AJ12&lt;=960000,85920,181920))))))-$F12))</f>
        <v/>
      </c>
      <c r="BA12" s="15">
        <f>IF(AK12="","",MAX(0,AK12*IF(AK12&lt;=36000,3%,IF(AK12&lt;=144000,10%,IF(AK12&lt;=300000,20%,IF(AK12&lt;=420000,25%,IF(AK12&lt;=660000,30%,IF(AK12&lt;=960000,35%,45%))))))-IF(AK12&lt;=36000,0,IF(AK12&lt;=144000,2520,IF(AK12&lt;=300000,16920,IF(AK12&lt;=420000,31920,IF(AK12&lt;=660000,52920,IF(AK12&lt;=960000,85920,181920))))))-$F12))</f>
        <v/>
      </c>
      <c r="BB12" s="15">
        <f>IF(AL12="","",MAX(0,AL12*IF(AL12&lt;=36000,3%,IF(AL12&lt;=144000,10%,IF(AL12&lt;=300000,20%,IF(AL12&lt;=420000,25%,IF(AL12&lt;=660000,30%,IF(AL12&lt;=960000,35%,45%))))))-IF(AL12&lt;=36000,0,IF(AL12&lt;=144000,2520,IF(AL12&lt;=300000,16920,IF(AL12&lt;=420000,31920,IF(AL12&lt;=660000,52920,IF(AL12&lt;=960000,85920,181920))))))-$F12))</f>
        <v/>
      </c>
      <c r="BC12" s="15">
        <f>IF(AM12="","",MAX(0,AM12*IF(AM12&lt;=36000,3%,IF(AM12&lt;=144000,10%,IF(AM12&lt;=300000,20%,IF(AM12&lt;=420000,25%,IF(AM12&lt;=660000,30%,IF(AM12&lt;=960000,35%,45%))))))-IF(AM12&lt;=36000,0,IF(AM12&lt;=144000,2520,IF(AM12&lt;=300000,16920,IF(AM12&lt;=420000,31920,IF(AM12&lt;=660000,52920,IF(AM12&lt;=960000,85920,181920))))))-$F12))</f>
        <v/>
      </c>
      <c r="BD12" s="15">
        <f>IF(AN12="","",MAX(0,AN12*IF(AN12&lt;=36000,3%,IF(AN12&lt;=144000,10%,IF(AN12&lt;=300000,20%,IF(AN12&lt;=420000,25%,IF(AN12&lt;=660000,30%,IF(AN12&lt;=960000,35%,45%))))))-IF(AN12&lt;=36000,0,IF(AN12&lt;=144000,2520,IF(AN12&lt;=300000,16920,IF(AN12&lt;=420000,31920,IF(AN12&lt;=660000,52920,IF(AN12&lt;=960000,85920,181920))))))-$F12))</f>
        <v/>
      </c>
      <c r="BE12" s="15">
        <f>IF(AO12="","",MAX(0,AO12*IF(AO12&lt;=36000,3%,IF(AO12&lt;=144000,10%,IF(AO12&lt;=300000,20%,IF(AO12&lt;=420000,25%,IF(AO12&lt;=660000,30%,IF(AO12&lt;=960000,35%,45%))))))-IF(AO12&lt;=36000,0,IF(AO12&lt;=144000,2520,IF(AO12&lt;=300000,16920,IF(AO12&lt;=420000,31920,IF(AO12&lt;=660000,52920,IF(AO12&lt;=960000,85920,181920))))))-$F12))</f>
        <v/>
      </c>
      <c r="BF12" s="15">
        <f>IF(J12="","",J12-(IF(J12/(1+IF(J12&lt;100000,0,1%))&lt;100000,0,J12/(1+IF(J12&lt;100000,0,1%))*1%))-(IF(J12/(1+IF(J12&lt;100000,0,1%))&lt;100000,0,J12/(1+IF(J12&lt;100000,0,1%))*1%*5%))-AP12)</f>
        <v/>
      </c>
      <c r="BG12" s="15">
        <f>IF(K12="","",K12-(IF(K12/(1+IF(K12&lt;100000,0,1%))&lt;100000,0,K12/(1+IF(K12&lt;100000,0,1%))*1%))-(IF(K12/(1+IF(K12&lt;100000,0,1%))&lt;100000,0,K12/(1+IF(K12&lt;100000,0,1%))*1%*5%))-AQ12)</f>
        <v/>
      </c>
      <c r="BH12" s="15">
        <f>IF(L12="","",L12-(IF(L12/(1+IF(L12&lt;100000,0,1%))&lt;100000,0,L12/(1+IF(L12&lt;100000,0,1%))*1%))-(IF(L12/(1+IF(L12&lt;100000,0,1%))&lt;100000,0,L12/(1+IF(L12&lt;100000,0,1%))*1%*5%))-AR12)</f>
        <v/>
      </c>
      <c r="BI12" s="15">
        <f>IF(M12="","",M12-(IF(M12/(1+IF(M12&lt;100000,0,1%))&lt;100000,0,M12/(1+IF(M12&lt;100000,0,1%))*1%))-(IF(M12/(1+IF(M12&lt;100000,0,1%))&lt;100000,0,M12/(1+IF(M12&lt;100000,0,1%))*1%*5%))-AS12)</f>
        <v/>
      </c>
      <c r="BJ12" s="15">
        <f>IF(N12="","",N12-(IF(N12/(1+IF(N12&lt;100000,0,1%))&lt;100000,0,N12/(1+IF(N12&lt;100000,0,1%))*1%))-(IF(N12/(1+IF(N12&lt;100000,0,1%))&lt;100000,0,N12/(1+IF(N12&lt;100000,0,1%))*1%*5%))-AT12)</f>
        <v/>
      </c>
      <c r="BK12" s="15">
        <f>IF(O12="","",O12-(IF(O12/(1+IF(O12&lt;100000,0,1%))&lt;100000,0,O12/(1+IF(O12&lt;100000,0,1%))*1%))-(IF(O12/(1+IF(O12&lt;100000,0,1%))&lt;100000,0,O12/(1+IF(O12&lt;100000,0,1%))*1%*5%))-AU12)</f>
        <v/>
      </c>
      <c r="BL12" s="15">
        <f>IF(P12="","",P12-(IF(P12/(1+IF(P12&lt;100000,0,1%))&lt;100000,0,P12/(1+IF(P12&lt;100000,0,1%))*1%))-(IF(P12/(1+IF(P12&lt;100000,0,1%))&lt;100000,0,P12/(1+IF(P12&lt;100000,0,1%))*1%*5%))-AV12)</f>
        <v/>
      </c>
      <c r="BM12" s="15">
        <f>IF(Q12="","",Q12-(IF(Q12/(1+IF(Q12&lt;100000,0,1%))&lt;100000,0,Q12/(1+IF(Q12&lt;100000,0,1%))*1%))-(IF(Q12/(1+IF(Q12&lt;100000,0,1%))&lt;100000,0,Q12/(1+IF(Q12&lt;100000,0,1%))*1%*5%))-AW12)</f>
        <v/>
      </c>
      <c r="BN12" s="15">
        <f>IF(R12="","",R12-(IF(R12/(1+IF(R12&lt;100000,0,1%))&lt;100000,0,R12/(1+IF(R12&lt;100000,0,1%))*1%))-(IF(R12/(1+IF(R12&lt;100000,0,1%))&lt;100000,0,R12/(1+IF(R12&lt;100000,0,1%))*1%*5%))-AX12)</f>
        <v/>
      </c>
      <c r="BO12" s="15">
        <f>IF(S12="","",S12-(IF(S12/(1+IF(S12&lt;100000,0,1%))&lt;100000,0,S12/(1+IF(S12&lt;100000,0,1%))*1%))-(IF(S12/(1+IF(S12&lt;100000,0,1%))&lt;100000,0,S12/(1+IF(S12&lt;100000,0,1%))*1%*5%))-AY12)</f>
        <v/>
      </c>
      <c r="BP12" s="15">
        <f>IF(T12="","",T12-(IF(T12/(1+IF(T12&lt;100000,0,1%))&lt;100000,0,T12/(1+IF(T12&lt;100000,0,1%))*1%))-(IF(T12/(1+IF(T12&lt;100000,0,1%))&lt;100000,0,T12/(1+IF(T12&lt;100000,0,1%))*1%*5%))-AZ12)</f>
        <v/>
      </c>
      <c r="BQ12" s="15">
        <f>IF(U12="","",U12-(IF(U12/(1+IF(U12&lt;100000,0,1%))&lt;100000,0,U12/(1+IF(U12&lt;100000,0,1%))*1%))-(IF(U12/(1+IF(U12&lt;100000,0,1%))&lt;100000,0,U12/(1+IF(U12&lt;100000,0,1%))*1%*5%))-BA12)</f>
        <v/>
      </c>
      <c r="BR12" s="15">
        <f>IF(V12="","",V12-(IF(V12/(1+IF(V12&lt;100000,0,1%))&lt;100000,0,V12/(1+IF(V12&lt;100000,0,1%))*1%))-(IF(V12/(1+IF(V12&lt;100000,0,1%))&lt;100000,0,V12/(1+IF(V12&lt;100000,0,1%))*1%*5%))-BB12)</f>
        <v/>
      </c>
      <c r="BS12" s="15">
        <f>IF(W12="","",W12-(IF(W12/(1+IF(W12&lt;100000,0,1%))&lt;100000,0,W12/(1+IF(W12&lt;100000,0,1%))*1%))-(IF(W12/(1+IF(W12&lt;100000,0,1%))&lt;100000,0,W12/(1+IF(W12&lt;100000,0,1%))*1%*5%))-BC12)</f>
        <v/>
      </c>
      <c r="BT12" s="15">
        <f>IF(X12="","",X12-(IF(X12/(1+IF(X12&lt;100000,0,1%))&lt;100000,0,X12/(1+IF(X12&lt;100000,0,1%))*1%))-(IF(X12/(1+IF(X12&lt;100000,0,1%))&lt;100000,0,X12/(1+IF(X12&lt;100000,0,1%))*1%*5%))-BD12)</f>
        <v/>
      </c>
      <c r="BU12" s="15">
        <f>IF(Y12="","",Y12-(IF(Y12/(1+IF(Y12&lt;100000,0,1%))&lt;100000,0,Y12/(1+IF(Y12&lt;100000,0,1%))*1%))-(IF(Y12/(1+IF(Y12&lt;100000,0,1%))&lt;100000,0,Y12/(1+IF(Y12&lt;100000,0,1%))*1%*5%))-BE12)</f>
        <v/>
      </c>
      <c r="BV12" s="15">
        <f>IF(BF12="","",ABS(BF12-$B12))</f>
        <v/>
      </c>
      <c r="BW12" s="15">
        <f>IF(BG12="","",ABS(BG12-$B12))</f>
        <v/>
      </c>
      <c r="BX12" s="15">
        <f>IF(BH12="","",ABS(BH12-$B12))</f>
        <v/>
      </c>
      <c r="BY12" s="15">
        <f>IF(BI12="","",ABS(BI12-$B12))</f>
        <v/>
      </c>
      <c r="BZ12" s="15">
        <f>IF(BJ12="","",ABS(BJ12-$B12))</f>
        <v/>
      </c>
      <c r="CA12" s="15">
        <f>IF(BK12="","",ABS(BK12-$B12))</f>
        <v/>
      </c>
      <c r="CB12" s="15">
        <f>IF(BL12="","",ABS(BL12-$B12))</f>
        <v/>
      </c>
      <c r="CC12" s="15">
        <f>IF(BM12="","",ABS(BM12-$B12))</f>
        <v/>
      </c>
      <c r="CD12" s="15">
        <f>IF(BN12="","",ABS(BN12-$B12))</f>
        <v/>
      </c>
      <c r="CE12" s="15">
        <f>IF(BO12="","",ABS(BO12-$B12))</f>
        <v/>
      </c>
      <c r="CF12" s="15">
        <f>IF(BP12="","",ABS(BP12-$B12))</f>
        <v/>
      </c>
      <c r="CG12" s="15">
        <f>IF(BQ12="","",ABS(BQ12-$B12))</f>
        <v/>
      </c>
      <c r="CH12" s="15">
        <f>IF(BR12="","",ABS(BR12-$B12))</f>
        <v/>
      </c>
      <c r="CI12" s="15">
        <f>IF(BS12="","",ABS(BS12-$B12))</f>
        <v/>
      </c>
      <c r="CJ12" s="15">
        <f>IF(BT12="","",ABS(BT12-$B12))</f>
        <v/>
      </c>
      <c r="CK12" s="15">
        <f>IF(BU12="","",ABS(BU12-$B12))</f>
        <v/>
      </c>
      <c r="CL12" s="14">
        <f>IF(J12="","",AND(J12&gt;0,J12&lt;101000,BV12&lt;0.05,AP12=0))</f>
        <v/>
      </c>
      <c r="CM12" s="14">
        <f>IF(K12="","",AND(K12&gt;0,K12&gt;=101000,BW12&lt;0.05,AQ12=0))</f>
        <v/>
      </c>
      <c r="CN12" s="14">
        <f>IF(L12="","",AND(L12&gt;0,L12&lt;101000,BX12&lt;0.05,AR12&gt;0))</f>
        <v/>
      </c>
      <c r="CO12" s="14">
        <f>IF(M12="","",AND(M12&gt;0,M12&lt;101000,BY12&lt;0.05,AS12&gt;0))</f>
        <v/>
      </c>
      <c r="CP12" s="14">
        <f>IF(N12="","",AND(N12&gt;0,N12&lt;101000,BZ12&lt;0.05,AT12&gt;0))</f>
        <v/>
      </c>
      <c r="CQ12" s="14">
        <f>IF(O12="","",AND(O12&gt;0,O12&lt;101000,CA12&lt;0.05,AU12&gt;0))</f>
        <v/>
      </c>
      <c r="CR12" s="14">
        <f>IF(P12="","",AND(P12&gt;0,P12&lt;101000,CB12&lt;0.05,AV12&gt;0))</f>
        <v/>
      </c>
      <c r="CS12" s="14">
        <f>IF(Q12="","",AND(Q12&gt;0,Q12&lt;101000,CC12&lt;0.05,AW12&gt;0))</f>
        <v/>
      </c>
      <c r="CT12" s="14">
        <f>IF(R12="","",AND(R12&gt;0,R12&lt;101000,CD12&lt;0.05,AX12&gt;0))</f>
        <v/>
      </c>
      <c r="CU12" s="14">
        <f>IF(S12="","",AND(S12&gt;0,S12&gt;=101000,CE12&lt;0.05,AY12&gt;0))</f>
        <v/>
      </c>
      <c r="CV12" s="14">
        <f>IF(T12="","",AND(T12&gt;0,T12&gt;=101000,CF12&lt;0.05,AZ12&gt;0))</f>
        <v/>
      </c>
      <c r="CW12" s="14">
        <f>IF(U12="","",AND(U12&gt;0,U12&gt;=101000,CG12&lt;0.05,BA12&gt;0))</f>
        <v/>
      </c>
      <c r="CX12" s="14">
        <f>IF(V12="","",AND(V12&gt;0,V12&gt;=101000,CH12&lt;0.05,BB12&gt;0))</f>
        <v/>
      </c>
      <c r="CY12" s="14">
        <f>IF(W12="","",AND(W12&gt;0,W12&gt;=101000,CI12&lt;0.05,BC12&gt;0))</f>
        <v/>
      </c>
      <c r="CZ12" s="14">
        <f>IF(X12="","",AND(X12&gt;0,X12&gt;=101000,CJ12&lt;0.05,BD12&gt;0))</f>
        <v/>
      </c>
      <c r="DA12" s="14">
        <f>IF(Y12="","",AND(Y12&gt;0,Y12&gt;=101000,CK12&lt;0.05,BE12&gt;0))</f>
        <v/>
      </c>
      <c r="DB12" s="14">
        <f>IFERROR(MATCH(TRUE,CL12:DA12,0),"")</f>
        <v/>
      </c>
      <c r="DC12" s="15">
        <f>IF(DB12="","",INDEX(J12:Y12,DB12))</f>
        <v/>
      </c>
      <c r="DD12" s="15">
        <f>IF(DB12="","",INDEX(BF12:BU12,DB12))</f>
        <v/>
      </c>
    </row>
    <row r="13">
      <c r="A13" s="14" t="n">
        <v>12</v>
      </c>
      <c r="B13" s="15">
        <f>'月度计算'!C16</f>
        <v/>
      </c>
      <c r="C13" s="14">
        <f>'月度计算'!D16</f>
        <v/>
      </c>
      <c r="D13" s="15">
        <f>'月度计算'!B16</f>
        <v/>
      </c>
      <c r="E13" s="14">
        <f>'月度计算'!E16</f>
        <v/>
      </c>
      <c r="F13" s="15">
        <f>'月度计算'!F16</f>
        <v/>
      </c>
      <c r="G13" s="15">
        <f>'月度计算'!AB16</f>
        <v/>
      </c>
      <c r="H13" s="15">
        <f>'月度计算'!AC16</f>
        <v/>
      </c>
      <c r="I13" s="15">
        <f>IF(C13=0,"",G13*80%-5000*E13-H13)</f>
        <v/>
      </c>
      <c r="J13" s="15">
        <f>IF(OR($C13=0,$B13="",$D13&lt;&gt;""),"",$B13/(1-(0)))</f>
        <v/>
      </c>
      <c r="K13" s="15">
        <f>IF(OR($C13=0,$B13="",$D13&lt;&gt;""),"",$B13/(1-(21/2020)))</f>
        <v/>
      </c>
      <c r="L13" s="15">
        <f>IF(OR($C13=0,$B13="",$D13&lt;&gt;""),"",($B13-0-$F13+$I13*0.03)/(1-(0)-(0.8)*0.03))</f>
        <v/>
      </c>
      <c r="M13" s="15">
        <f>IF(OR($C13=0,$B13="",$D13&lt;&gt;""),"",($B13-2520-$F13+$I13*0.1)/(1-(0)-(0.8)*0.1))</f>
        <v/>
      </c>
      <c r="N13" s="15">
        <f>IF(OR($C13=0,$B13="",$D13&lt;&gt;""),"",($B13-16920-$F13+$I13*0.2)/(1-(0)-(0.8)*0.2))</f>
        <v/>
      </c>
      <c r="O13" s="15">
        <f>IF(OR($C13=0,$B13="",$D13&lt;&gt;""),"",($B13-31920-$F13+$I13*0.25)/(1-(0)-(0.8)*0.25))</f>
        <v/>
      </c>
      <c r="P13" s="15">
        <f>IF(OR($C13=0,$B13="",$D13&lt;&gt;""),"",($B13-52920-$F13+$I13*0.3)/(1-(0)-(0.8)*0.3))</f>
        <v/>
      </c>
      <c r="Q13" s="15">
        <f>IF(OR($C13=0,$B13="",$D13&lt;&gt;""),"",($B13-85920-$F13+$I13*0.35)/(1-(0)-(0.8)*0.35))</f>
        <v/>
      </c>
      <c r="R13" s="15">
        <f>IF(OR($C13=0,$B13="",$D13&lt;&gt;""),"",($B13-181920-$F13+$I13*0.45)/(1-(0)-(0.8)*0.45))</f>
        <v/>
      </c>
      <c r="S13" s="15">
        <f>IF(OR($C13=0,$B13="",$D13&lt;&gt;""),"",($B13-0-$F13+$I13*0.03)/(1-(21/2020)-(1599/2020)*0.03))</f>
        <v/>
      </c>
      <c r="T13" s="15">
        <f>IF(OR($C13=0,$B13="",$D13&lt;&gt;""),"",($B13-2520-$F13+$I13*0.1)/(1-(21/2020)-(1599/2020)*0.1))</f>
        <v/>
      </c>
      <c r="U13" s="15">
        <f>IF(OR($C13=0,$B13="",$D13&lt;&gt;""),"",($B13-16920-$F13+$I13*0.2)/(1-(21/2020)-(1599/2020)*0.2))</f>
        <v/>
      </c>
      <c r="V13" s="15">
        <f>IF(OR($C13=0,$B13="",$D13&lt;&gt;""),"",($B13-31920-$F13+$I13*0.25)/(1-(21/2020)-(1599/2020)*0.25))</f>
        <v/>
      </c>
      <c r="W13" s="15">
        <f>IF(OR($C13=0,$B13="",$D13&lt;&gt;""),"",($B13-52920-$F13+$I13*0.3)/(1-(21/2020)-(1599/2020)*0.3))</f>
        <v/>
      </c>
      <c r="X13" s="15">
        <f>IF(OR($C13=0,$B13="",$D13&lt;&gt;""),"",($B13-85920-$F13+$I13*0.35)/(1-(21/2020)-(1599/2020)*0.35))</f>
        <v/>
      </c>
      <c r="Y13" s="15">
        <f>IF(OR($C13=0,$B13="",$D13&lt;&gt;""),"",($B13-181920-$F13+$I13*0.45)/(1-(21/2020)-(1599/2020)*0.45))</f>
        <v/>
      </c>
      <c r="Z13" s="15">
        <f>IF(J13="","",($G13+J13-(IF(J13/(1+IF(J13&lt;100000,0,1%))&lt;100000,0,J13/(1+IF(J13&lt;100000,0,1%))*1%)))*80%-5000*$E13-($H13+(IF(J13/(1+IF(J13&lt;100000,0,1%))&lt;100000,0,J13/(1+IF(J13&lt;100000,0,1%))*1%*5%))))</f>
        <v/>
      </c>
      <c r="AA13" s="15">
        <f>IF(K13="","",($G13+K13-(IF(K13/(1+IF(K13&lt;100000,0,1%))&lt;100000,0,K13/(1+IF(K13&lt;100000,0,1%))*1%)))*80%-5000*$E13-($H13+(IF(K13/(1+IF(K13&lt;100000,0,1%))&lt;100000,0,K13/(1+IF(K13&lt;100000,0,1%))*1%*5%))))</f>
        <v/>
      </c>
      <c r="AB13" s="15">
        <f>IF(L13="","",($G13+L13-(IF(L13/(1+IF(L13&lt;100000,0,1%))&lt;100000,0,L13/(1+IF(L13&lt;100000,0,1%))*1%)))*80%-5000*$E13-($H13+(IF(L13/(1+IF(L13&lt;100000,0,1%))&lt;100000,0,L13/(1+IF(L13&lt;100000,0,1%))*1%*5%))))</f>
        <v/>
      </c>
      <c r="AC13" s="15">
        <f>IF(M13="","",($G13+M13-(IF(M13/(1+IF(M13&lt;100000,0,1%))&lt;100000,0,M13/(1+IF(M13&lt;100000,0,1%))*1%)))*80%-5000*$E13-($H13+(IF(M13/(1+IF(M13&lt;100000,0,1%))&lt;100000,0,M13/(1+IF(M13&lt;100000,0,1%))*1%*5%))))</f>
        <v/>
      </c>
      <c r="AD13" s="15">
        <f>IF(N13="","",($G13+N13-(IF(N13/(1+IF(N13&lt;100000,0,1%))&lt;100000,0,N13/(1+IF(N13&lt;100000,0,1%))*1%)))*80%-5000*$E13-($H13+(IF(N13/(1+IF(N13&lt;100000,0,1%))&lt;100000,0,N13/(1+IF(N13&lt;100000,0,1%))*1%*5%))))</f>
        <v/>
      </c>
      <c r="AE13" s="15">
        <f>IF(O13="","",($G13+O13-(IF(O13/(1+IF(O13&lt;100000,0,1%))&lt;100000,0,O13/(1+IF(O13&lt;100000,0,1%))*1%)))*80%-5000*$E13-($H13+(IF(O13/(1+IF(O13&lt;100000,0,1%))&lt;100000,0,O13/(1+IF(O13&lt;100000,0,1%))*1%*5%))))</f>
        <v/>
      </c>
      <c r="AF13" s="15">
        <f>IF(P13="","",($G13+P13-(IF(P13/(1+IF(P13&lt;100000,0,1%))&lt;100000,0,P13/(1+IF(P13&lt;100000,0,1%))*1%)))*80%-5000*$E13-($H13+(IF(P13/(1+IF(P13&lt;100000,0,1%))&lt;100000,0,P13/(1+IF(P13&lt;100000,0,1%))*1%*5%))))</f>
        <v/>
      </c>
      <c r="AG13" s="15">
        <f>IF(Q13="","",($G13+Q13-(IF(Q13/(1+IF(Q13&lt;100000,0,1%))&lt;100000,0,Q13/(1+IF(Q13&lt;100000,0,1%))*1%)))*80%-5000*$E13-($H13+(IF(Q13/(1+IF(Q13&lt;100000,0,1%))&lt;100000,0,Q13/(1+IF(Q13&lt;100000,0,1%))*1%*5%))))</f>
        <v/>
      </c>
      <c r="AH13" s="15">
        <f>IF(R13="","",($G13+R13-(IF(R13/(1+IF(R13&lt;100000,0,1%))&lt;100000,0,R13/(1+IF(R13&lt;100000,0,1%))*1%)))*80%-5000*$E13-($H13+(IF(R13/(1+IF(R13&lt;100000,0,1%))&lt;100000,0,R13/(1+IF(R13&lt;100000,0,1%))*1%*5%))))</f>
        <v/>
      </c>
      <c r="AI13" s="15">
        <f>IF(S13="","",($G13+S13-(IF(S13/(1+IF(S13&lt;100000,0,1%))&lt;100000,0,S13/(1+IF(S13&lt;100000,0,1%))*1%)))*80%-5000*$E13-($H13+(IF(S13/(1+IF(S13&lt;100000,0,1%))&lt;100000,0,S13/(1+IF(S13&lt;100000,0,1%))*1%*5%))))</f>
        <v/>
      </c>
      <c r="AJ13" s="15">
        <f>IF(T13="","",($G13+T13-(IF(T13/(1+IF(T13&lt;100000,0,1%))&lt;100000,0,T13/(1+IF(T13&lt;100000,0,1%))*1%)))*80%-5000*$E13-($H13+(IF(T13/(1+IF(T13&lt;100000,0,1%))&lt;100000,0,T13/(1+IF(T13&lt;100000,0,1%))*1%*5%))))</f>
        <v/>
      </c>
      <c r="AK13" s="15">
        <f>IF(U13="","",($G13+U13-(IF(U13/(1+IF(U13&lt;100000,0,1%))&lt;100000,0,U13/(1+IF(U13&lt;100000,0,1%))*1%)))*80%-5000*$E13-($H13+(IF(U13/(1+IF(U13&lt;100000,0,1%))&lt;100000,0,U13/(1+IF(U13&lt;100000,0,1%))*1%*5%))))</f>
        <v/>
      </c>
      <c r="AL13" s="15">
        <f>IF(V13="","",($G13+V13-(IF(V13/(1+IF(V13&lt;100000,0,1%))&lt;100000,0,V13/(1+IF(V13&lt;100000,0,1%))*1%)))*80%-5000*$E13-($H13+(IF(V13/(1+IF(V13&lt;100000,0,1%))&lt;100000,0,V13/(1+IF(V13&lt;100000,0,1%))*1%*5%))))</f>
        <v/>
      </c>
      <c r="AM13" s="15">
        <f>IF(W13="","",($G13+W13-(IF(W13/(1+IF(W13&lt;100000,0,1%))&lt;100000,0,W13/(1+IF(W13&lt;100000,0,1%))*1%)))*80%-5000*$E13-($H13+(IF(W13/(1+IF(W13&lt;100000,0,1%))&lt;100000,0,W13/(1+IF(W13&lt;100000,0,1%))*1%*5%))))</f>
        <v/>
      </c>
      <c r="AN13" s="15">
        <f>IF(X13="","",($G13+X13-(IF(X13/(1+IF(X13&lt;100000,0,1%))&lt;100000,0,X13/(1+IF(X13&lt;100000,0,1%))*1%)))*80%-5000*$E13-($H13+(IF(X13/(1+IF(X13&lt;100000,0,1%))&lt;100000,0,X13/(1+IF(X13&lt;100000,0,1%))*1%*5%))))</f>
        <v/>
      </c>
      <c r="AO13" s="15">
        <f>IF(Y13="","",($G13+Y13-(IF(Y13/(1+IF(Y13&lt;100000,0,1%))&lt;100000,0,Y13/(1+IF(Y13&lt;100000,0,1%))*1%)))*80%-5000*$E13-($H13+(IF(Y13/(1+IF(Y13&lt;100000,0,1%))&lt;100000,0,Y13/(1+IF(Y13&lt;100000,0,1%))*1%*5%))))</f>
        <v/>
      </c>
      <c r="AP13" s="15">
        <f>IF(Z13="","",MAX(0,Z13*IF(Z13&lt;=36000,3%,IF(Z13&lt;=144000,10%,IF(Z13&lt;=300000,20%,IF(Z13&lt;=420000,25%,IF(Z13&lt;=660000,30%,IF(Z13&lt;=960000,35%,45%))))))-IF(Z13&lt;=36000,0,IF(Z13&lt;=144000,2520,IF(Z13&lt;=300000,16920,IF(Z13&lt;=420000,31920,IF(Z13&lt;=660000,52920,IF(Z13&lt;=960000,85920,181920))))))-$F13))</f>
        <v/>
      </c>
      <c r="AQ13" s="15">
        <f>IF(AA13="","",MAX(0,AA13*IF(AA13&lt;=36000,3%,IF(AA13&lt;=144000,10%,IF(AA13&lt;=300000,20%,IF(AA13&lt;=420000,25%,IF(AA13&lt;=660000,30%,IF(AA13&lt;=960000,35%,45%))))))-IF(AA13&lt;=36000,0,IF(AA13&lt;=144000,2520,IF(AA13&lt;=300000,16920,IF(AA13&lt;=420000,31920,IF(AA13&lt;=660000,52920,IF(AA13&lt;=960000,85920,181920))))))-$F13))</f>
        <v/>
      </c>
      <c r="AR13" s="15">
        <f>IF(AB13="","",MAX(0,AB13*IF(AB13&lt;=36000,3%,IF(AB13&lt;=144000,10%,IF(AB13&lt;=300000,20%,IF(AB13&lt;=420000,25%,IF(AB13&lt;=660000,30%,IF(AB13&lt;=960000,35%,45%))))))-IF(AB13&lt;=36000,0,IF(AB13&lt;=144000,2520,IF(AB13&lt;=300000,16920,IF(AB13&lt;=420000,31920,IF(AB13&lt;=660000,52920,IF(AB13&lt;=960000,85920,181920))))))-$F13))</f>
        <v/>
      </c>
      <c r="AS13" s="15">
        <f>IF(AC13="","",MAX(0,AC13*IF(AC13&lt;=36000,3%,IF(AC13&lt;=144000,10%,IF(AC13&lt;=300000,20%,IF(AC13&lt;=420000,25%,IF(AC13&lt;=660000,30%,IF(AC13&lt;=960000,35%,45%))))))-IF(AC13&lt;=36000,0,IF(AC13&lt;=144000,2520,IF(AC13&lt;=300000,16920,IF(AC13&lt;=420000,31920,IF(AC13&lt;=660000,52920,IF(AC13&lt;=960000,85920,181920))))))-$F13))</f>
        <v/>
      </c>
      <c r="AT13" s="15">
        <f>IF(AD13="","",MAX(0,AD13*IF(AD13&lt;=36000,3%,IF(AD13&lt;=144000,10%,IF(AD13&lt;=300000,20%,IF(AD13&lt;=420000,25%,IF(AD13&lt;=660000,30%,IF(AD13&lt;=960000,35%,45%))))))-IF(AD13&lt;=36000,0,IF(AD13&lt;=144000,2520,IF(AD13&lt;=300000,16920,IF(AD13&lt;=420000,31920,IF(AD13&lt;=660000,52920,IF(AD13&lt;=960000,85920,181920))))))-$F13))</f>
        <v/>
      </c>
      <c r="AU13" s="15">
        <f>IF(AE13="","",MAX(0,AE13*IF(AE13&lt;=36000,3%,IF(AE13&lt;=144000,10%,IF(AE13&lt;=300000,20%,IF(AE13&lt;=420000,25%,IF(AE13&lt;=660000,30%,IF(AE13&lt;=960000,35%,45%))))))-IF(AE13&lt;=36000,0,IF(AE13&lt;=144000,2520,IF(AE13&lt;=300000,16920,IF(AE13&lt;=420000,31920,IF(AE13&lt;=660000,52920,IF(AE13&lt;=960000,85920,181920))))))-$F13))</f>
        <v/>
      </c>
      <c r="AV13" s="15">
        <f>IF(AF13="","",MAX(0,AF13*IF(AF13&lt;=36000,3%,IF(AF13&lt;=144000,10%,IF(AF13&lt;=300000,20%,IF(AF13&lt;=420000,25%,IF(AF13&lt;=660000,30%,IF(AF13&lt;=960000,35%,45%))))))-IF(AF13&lt;=36000,0,IF(AF13&lt;=144000,2520,IF(AF13&lt;=300000,16920,IF(AF13&lt;=420000,31920,IF(AF13&lt;=660000,52920,IF(AF13&lt;=960000,85920,181920))))))-$F13))</f>
        <v/>
      </c>
      <c r="AW13" s="15">
        <f>IF(AG13="","",MAX(0,AG13*IF(AG13&lt;=36000,3%,IF(AG13&lt;=144000,10%,IF(AG13&lt;=300000,20%,IF(AG13&lt;=420000,25%,IF(AG13&lt;=660000,30%,IF(AG13&lt;=960000,35%,45%))))))-IF(AG13&lt;=36000,0,IF(AG13&lt;=144000,2520,IF(AG13&lt;=300000,16920,IF(AG13&lt;=420000,31920,IF(AG13&lt;=660000,52920,IF(AG13&lt;=960000,85920,181920))))))-$F13))</f>
        <v/>
      </c>
      <c r="AX13" s="15">
        <f>IF(AH13="","",MAX(0,AH13*IF(AH13&lt;=36000,3%,IF(AH13&lt;=144000,10%,IF(AH13&lt;=300000,20%,IF(AH13&lt;=420000,25%,IF(AH13&lt;=660000,30%,IF(AH13&lt;=960000,35%,45%))))))-IF(AH13&lt;=36000,0,IF(AH13&lt;=144000,2520,IF(AH13&lt;=300000,16920,IF(AH13&lt;=420000,31920,IF(AH13&lt;=660000,52920,IF(AH13&lt;=960000,85920,181920))))))-$F13))</f>
        <v/>
      </c>
      <c r="AY13" s="15">
        <f>IF(AI13="","",MAX(0,AI13*IF(AI13&lt;=36000,3%,IF(AI13&lt;=144000,10%,IF(AI13&lt;=300000,20%,IF(AI13&lt;=420000,25%,IF(AI13&lt;=660000,30%,IF(AI13&lt;=960000,35%,45%))))))-IF(AI13&lt;=36000,0,IF(AI13&lt;=144000,2520,IF(AI13&lt;=300000,16920,IF(AI13&lt;=420000,31920,IF(AI13&lt;=660000,52920,IF(AI13&lt;=960000,85920,181920))))))-$F13))</f>
        <v/>
      </c>
      <c r="AZ13" s="15">
        <f>IF(AJ13="","",MAX(0,AJ13*IF(AJ13&lt;=36000,3%,IF(AJ13&lt;=144000,10%,IF(AJ13&lt;=300000,20%,IF(AJ13&lt;=420000,25%,IF(AJ13&lt;=660000,30%,IF(AJ13&lt;=960000,35%,45%))))))-IF(AJ13&lt;=36000,0,IF(AJ13&lt;=144000,2520,IF(AJ13&lt;=300000,16920,IF(AJ13&lt;=420000,31920,IF(AJ13&lt;=660000,52920,IF(AJ13&lt;=960000,85920,181920))))))-$F13))</f>
        <v/>
      </c>
      <c r="BA13" s="15">
        <f>IF(AK13="","",MAX(0,AK13*IF(AK13&lt;=36000,3%,IF(AK13&lt;=144000,10%,IF(AK13&lt;=300000,20%,IF(AK13&lt;=420000,25%,IF(AK13&lt;=660000,30%,IF(AK13&lt;=960000,35%,45%))))))-IF(AK13&lt;=36000,0,IF(AK13&lt;=144000,2520,IF(AK13&lt;=300000,16920,IF(AK13&lt;=420000,31920,IF(AK13&lt;=660000,52920,IF(AK13&lt;=960000,85920,181920))))))-$F13))</f>
        <v/>
      </c>
      <c r="BB13" s="15">
        <f>IF(AL13="","",MAX(0,AL13*IF(AL13&lt;=36000,3%,IF(AL13&lt;=144000,10%,IF(AL13&lt;=300000,20%,IF(AL13&lt;=420000,25%,IF(AL13&lt;=660000,30%,IF(AL13&lt;=960000,35%,45%))))))-IF(AL13&lt;=36000,0,IF(AL13&lt;=144000,2520,IF(AL13&lt;=300000,16920,IF(AL13&lt;=420000,31920,IF(AL13&lt;=660000,52920,IF(AL13&lt;=960000,85920,181920))))))-$F13))</f>
        <v/>
      </c>
      <c r="BC13" s="15">
        <f>IF(AM13="","",MAX(0,AM13*IF(AM13&lt;=36000,3%,IF(AM13&lt;=144000,10%,IF(AM13&lt;=300000,20%,IF(AM13&lt;=420000,25%,IF(AM13&lt;=660000,30%,IF(AM13&lt;=960000,35%,45%))))))-IF(AM13&lt;=36000,0,IF(AM13&lt;=144000,2520,IF(AM13&lt;=300000,16920,IF(AM13&lt;=420000,31920,IF(AM13&lt;=660000,52920,IF(AM13&lt;=960000,85920,181920))))))-$F13))</f>
        <v/>
      </c>
      <c r="BD13" s="15">
        <f>IF(AN13="","",MAX(0,AN13*IF(AN13&lt;=36000,3%,IF(AN13&lt;=144000,10%,IF(AN13&lt;=300000,20%,IF(AN13&lt;=420000,25%,IF(AN13&lt;=660000,30%,IF(AN13&lt;=960000,35%,45%))))))-IF(AN13&lt;=36000,0,IF(AN13&lt;=144000,2520,IF(AN13&lt;=300000,16920,IF(AN13&lt;=420000,31920,IF(AN13&lt;=660000,52920,IF(AN13&lt;=960000,85920,181920))))))-$F13))</f>
        <v/>
      </c>
      <c r="BE13" s="15">
        <f>IF(AO13="","",MAX(0,AO13*IF(AO13&lt;=36000,3%,IF(AO13&lt;=144000,10%,IF(AO13&lt;=300000,20%,IF(AO13&lt;=420000,25%,IF(AO13&lt;=660000,30%,IF(AO13&lt;=960000,35%,45%))))))-IF(AO13&lt;=36000,0,IF(AO13&lt;=144000,2520,IF(AO13&lt;=300000,16920,IF(AO13&lt;=420000,31920,IF(AO13&lt;=660000,52920,IF(AO13&lt;=960000,85920,181920))))))-$F13))</f>
        <v/>
      </c>
      <c r="BF13" s="15">
        <f>IF(J13="","",J13-(IF(J13/(1+IF(J13&lt;100000,0,1%))&lt;100000,0,J13/(1+IF(J13&lt;100000,0,1%))*1%))-(IF(J13/(1+IF(J13&lt;100000,0,1%))&lt;100000,0,J13/(1+IF(J13&lt;100000,0,1%))*1%*5%))-AP13)</f>
        <v/>
      </c>
      <c r="BG13" s="15">
        <f>IF(K13="","",K13-(IF(K13/(1+IF(K13&lt;100000,0,1%))&lt;100000,0,K13/(1+IF(K13&lt;100000,0,1%))*1%))-(IF(K13/(1+IF(K13&lt;100000,0,1%))&lt;100000,0,K13/(1+IF(K13&lt;100000,0,1%))*1%*5%))-AQ13)</f>
        <v/>
      </c>
      <c r="BH13" s="15">
        <f>IF(L13="","",L13-(IF(L13/(1+IF(L13&lt;100000,0,1%))&lt;100000,0,L13/(1+IF(L13&lt;100000,0,1%))*1%))-(IF(L13/(1+IF(L13&lt;100000,0,1%))&lt;100000,0,L13/(1+IF(L13&lt;100000,0,1%))*1%*5%))-AR13)</f>
        <v/>
      </c>
      <c r="BI13" s="15">
        <f>IF(M13="","",M13-(IF(M13/(1+IF(M13&lt;100000,0,1%))&lt;100000,0,M13/(1+IF(M13&lt;100000,0,1%))*1%))-(IF(M13/(1+IF(M13&lt;100000,0,1%))&lt;100000,0,M13/(1+IF(M13&lt;100000,0,1%))*1%*5%))-AS13)</f>
        <v/>
      </c>
      <c r="BJ13" s="15">
        <f>IF(N13="","",N13-(IF(N13/(1+IF(N13&lt;100000,0,1%))&lt;100000,0,N13/(1+IF(N13&lt;100000,0,1%))*1%))-(IF(N13/(1+IF(N13&lt;100000,0,1%))&lt;100000,0,N13/(1+IF(N13&lt;100000,0,1%))*1%*5%))-AT13)</f>
        <v/>
      </c>
      <c r="BK13" s="15">
        <f>IF(O13="","",O13-(IF(O13/(1+IF(O13&lt;100000,0,1%))&lt;100000,0,O13/(1+IF(O13&lt;100000,0,1%))*1%))-(IF(O13/(1+IF(O13&lt;100000,0,1%))&lt;100000,0,O13/(1+IF(O13&lt;100000,0,1%))*1%*5%))-AU13)</f>
        <v/>
      </c>
      <c r="BL13" s="15">
        <f>IF(P13="","",P13-(IF(P13/(1+IF(P13&lt;100000,0,1%))&lt;100000,0,P13/(1+IF(P13&lt;100000,0,1%))*1%))-(IF(P13/(1+IF(P13&lt;100000,0,1%))&lt;100000,0,P13/(1+IF(P13&lt;100000,0,1%))*1%*5%))-AV13)</f>
        <v/>
      </c>
      <c r="BM13" s="15">
        <f>IF(Q13="","",Q13-(IF(Q13/(1+IF(Q13&lt;100000,0,1%))&lt;100000,0,Q13/(1+IF(Q13&lt;100000,0,1%))*1%))-(IF(Q13/(1+IF(Q13&lt;100000,0,1%))&lt;100000,0,Q13/(1+IF(Q13&lt;100000,0,1%))*1%*5%))-AW13)</f>
        <v/>
      </c>
      <c r="BN13" s="15">
        <f>IF(R13="","",R13-(IF(R13/(1+IF(R13&lt;100000,0,1%))&lt;100000,0,R13/(1+IF(R13&lt;100000,0,1%))*1%))-(IF(R13/(1+IF(R13&lt;100000,0,1%))&lt;100000,0,R13/(1+IF(R13&lt;100000,0,1%))*1%*5%))-AX13)</f>
        <v/>
      </c>
      <c r="BO13" s="15">
        <f>IF(S13="","",S13-(IF(S13/(1+IF(S13&lt;100000,0,1%))&lt;100000,0,S13/(1+IF(S13&lt;100000,0,1%))*1%))-(IF(S13/(1+IF(S13&lt;100000,0,1%))&lt;100000,0,S13/(1+IF(S13&lt;100000,0,1%))*1%*5%))-AY13)</f>
        <v/>
      </c>
      <c r="BP13" s="15">
        <f>IF(T13="","",T13-(IF(T13/(1+IF(T13&lt;100000,0,1%))&lt;100000,0,T13/(1+IF(T13&lt;100000,0,1%))*1%))-(IF(T13/(1+IF(T13&lt;100000,0,1%))&lt;100000,0,T13/(1+IF(T13&lt;100000,0,1%))*1%*5%))-AZ13)</f>
        <v/>
      </c>
      <c r="BQ13" s="15">
        <f>IF(U13="","",U13-(IF(U13/(1+IF(U13&lt;100000,0,1%))&lt;100000,0,U13/(1+IF(U13&lt;100000,0,1%))*1%))-(IF(U13/(1+IF(U13&lt;100000,0,1%))&lt;100000,0,U13/(1+IF(U13&lt;100000,0,1%))*1%*5%))-BA13)</f>
        <v/>
      </c>
      <c r="BR13" s="15">
        <f>IF(V13="","",V13-(IF(V13/(1+IF(V13&lt;100000,0,1%))&lt;100000,0,V13/(1+IF(V13&lt;100000,0,1%))*1%))-(IF(V13/(1+IF(V13&lt;100000,0,1%))&lt;100000,0,V13/(1+IF(V13&lt;100000,0,1%))*1%*5%))-BB13)</f>
        <v/>
      </c>
      <c r="BS13" s="15">
        <f>IF(W13="","",W13-(IF(W13/(1+IF(W13&lt;100000,0,1%))&lt;100000,0,W13/(1+IF(W13&lt;100000,0,1%))*1%))-(IF(W13/(1+IF(W13&lt;100000,0,1%))&lt;100000,0,W13/(1+IF(W13&lt;100000,0,1%))*1%*5%))-BC13)</f>
        <v/>
      </c>
      <c r="BT13" s="15">
        <f>IF(X13="","",X13-(IF(X13/(1+IF(X13&lt;100000,0,1%))&lt;100000,0,X13/(1+IF(X13&lt;100000,0,1%))*1%))-(IF(X13/(1+IF(X13&lt;100000,0,1%))&lt;100000,0,X13/(1+IF(X13&lt;100000,0,1%))*1%*5%))-BD13)</f>
        <v/>
      </c>
      <c r="BU13" s="15">
        <f>IF(Y13="","",Y13-(IF(Y13/(1+IF(Y13&lt;100000,0,1%))&lt;100000,0,Y13/(1+IF(Y13&lt;100000,0,1%))*1%))-(IF(Y13/(1+IF(Y13&lt;100000,0,1%))&lt;100000,0,Y13/(1+IF(Y13&lt;100000,0,1%))*1%*5%))-BE13)</f>
        <v/>
      </c>
      <c r="BV13" s="15">
        <f>IF(BF13="","",ABS(BF13-$B13))</f>
        <v/>
      </c>
      <c r="BW13" s="15">
        <f>IF(BG13="","",ABS(BG13-$B13))</f>
        <v/>
      </c>
      <c r="BX13" s="15">
        <f>IF(BH13="","",ABS(BH13-$B13))</f>
        <v/>
      </c>
      <c r="BY13" s="15">
        <f>IF(BI13="","",ABS(BI13-$B13))</f>
        <v/>
      </c>
      <c r="BZ13" s="15">
        <f>IF(BJ13="","",ABS(BJ13-$B13))</f>
        <v/>
      </c>
      <c r="CA13" s="15">
        <f>IF(BK13="","",ABS(BK13-$B13))</f>
        <v/>
      </c>
      <c r="CB13" s="15">
        <f>IF(BL13="","",ABS(BL13-$B13))</f>
        <v/>
      </c>
      <c r="CC13" s="15">
        <f>IF(BM13="","",ABS(BM13-$B13))</f>
        <v/>
      </c>
      <c r="CD13" s="15">
        <f>IF(BN13="","",ABS(BN13-$B13))</f>
        <v/>
      </c>
      <c r="CE13" s="15">
        <f>IF(BO13="","",ABS(BO13-$B13))</f>
        <v/>
      </c>
      <c r="CF13" s="15">
        <f>IF(BP13="","",ABS(BP13-$B13))</f>
        <v/>
      </c>
      <c r="CG13" s="15">
        <f>IF(BQ13="","",ABS(BQ13-$B13))</f>
        <v/>
      </c>
      <c r="CH13" s="15">
        <f>IF(BR13="","",ABS(BR13-$B13))</f>
        <v/>
      </c>
      <c r="CI13" s="15">
        <f>IF(BS13="","",ABS(BS13-$B13))</f>
        <v/>
      </c>
      <c r="CJ13" s="15">
        <f>IF(BT13="","",ABS(BT13-$B13))</f>
        <v/>
      </c>
      <c r="CK13" s="15">
        <f>IF(BU13="","",ABS(BU13-$B13))</f>
        <v/>
      </c>
      <c r="CL13" s="14">
        <f>IF(J13="","",AND(J13&gt;0,J13&lt;101000,BV13&lt;0.05,AP13=0))</f>
        <v/>
      </c>
      <c r="CM13" s="14">
        <f>IF(K13="","",AND(K13&gt;0,K13&gt;=101000,BW13&lt;0.05,AQ13=0))</f>
        <v/>
      </c>
      <c r="CN13" s="14">
        <f>IF(L13="","",AND(L13&gt;0,L13&lt;101000,BX13&lt;0.05,AR13&gt;0))</f>
        <v/>
      </c>
      <c r="CO13" s="14">
        <f>IF(M13="","",AND(M13&gt;0,M13&lt;101000,BY13&lt;0.05,AS13&gt;0))</f>
        <v/>
      </c>
      <c r="CP13" s="14">
        <f>IF(N13="","",AND(N13&gt;0,N13&lt;101000,BZ13&lt;0.05,AT13&gt;0))</f>
        <v/>
      </c>
      <c r="CQ13" s="14">
        <f>IF(O13="","",AND(O13&gt;0,O13&lt;101000,CA13&lt;0.05,AU13&gt;0))</f>
        <v/>
      </c>
      <c r="CR13" s="14">
        <f>IF(P13="","",AND(P13&gt;0,P13&lt;101000,CB13&lt;0.05,AV13&gt;0))</f>
        <v/>
      </c>
      <c r="CS13" s="14">
        <f>IF(Q13="","",AND(Q13&gt;0,Q13&lt;101000,CC13&lt;0.05,AW13&gt;0))</f>
        <v/>
      </c>
      <c r="CT13" s="14">
        <f>IF(R13="","",AND(R13&gt;0,R13&lt;101000,CD13&lt;0.05,AX13&gt;0))</f>
        <v/>
      </c>
      <c r="CU13" s="14">
        <f>IF(S13="","",AND(S13&gt;0,S13&gt;=101000,CE13&lt;0.05,AY13&gt;0))</f>
        <v/>
      </c>
      <c r="CV13" s="14">
        <f>IF(T13="","",AND(T13&gt;0,T13&gt;=101000,CF13&lt;0.05,AZ13&gt;0))</f>
        <v/>
      </c>
      <c r="CW13" s="14">
        <f>IF(U13="","",AND(U13&gt;0,U13&gt;=101000,CG13&lt;0.05,BA13&gt;0))</f>
        <v/>
      </c>
      <c r="CX13" s="14">
        <f>IF(V13="","",AND(V13&gt;0,V13&gt;=101000,CH13&lt;0.05,BB13&gt;0))</f>
        <v/>
      </c>
      <c r="CY13" s="14">
        <f>IF(W13="","",AND(W13&gt;0,W13&gt;=101000,CI13&lt;0.05,BC13&gt;0))</f>
        <v/>
      </c>
      <c r="CZ13" s="14">
        <f>IF(X13="","",AND(X13&gt;0,X13&gt;=101000,CJ13&lt;0.05,BD13&gt;0))</f>
        <v/>
      </c>
      <c r="DA13" s="14">
        <f>IF(Y13="","",AND(Y13&gt;0,Y13&gt;=101000,CK13&lt;0.05,BE13&gt;0))</f>
        <v/>
      </c>
      <c r="DB13" s="14">
        <f>IFERROR(MATCH(TRUE,CL13:DA13,0),"")</f>
        <v/>
      </c>
      <c r="DC13" s="15">
        <f>IF(DB13="","",INDEX(J13:Y13,DB13))</f>
        <v/>
      </c>
      <c r="DD13" s="15">
        <f>IF(DB13="","",INDEX(BF13:BU13,DB13))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2026-03-06T09:43:09Z</dcterms:created>
  <dcterms:modified xsi:type="dcterms:W3CDTF">2026-03-06T09:43:09Z</dcterms:modified>
</cp:coreProperties>
</file>